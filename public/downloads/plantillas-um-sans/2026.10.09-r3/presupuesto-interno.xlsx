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svg" ContentType="image/sv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6cf7e3bff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" sheetId="1" r:id="R5f91dc1a120d4196"/>
    <x:sheet xmlns:r="http://schemas.openxmlformats.org/officeDocument/2006/relationships" name="Costeo" sheetId="2" r:id="Rbb704652b19043c6"/>
    <x:sheet xmlns:r="http://schemas.openxmlformats.org/officeDocument/2006/relationships" name="Parámetros" sheetId="3" r:id="Ra853b0d03da04b08"/>
    <x:sheet xmlns:r="http://schemas.openxmlformats.org/officeDocument/2006/relationships" name="Proveedores" sheetId="4" r:id="R5b4d3ff1f83347ca"/>
  </x:sheets>
  <x:definedNames>
    <x:definedName name="_xlnm.Print_Area" localSheetId="0">'Resultado'!$A$1:$F$28</x:definedName>
    <x:definedName name="_xlnm.Print_Area" localSheetId="1">'Costeo'!$A$1:$L$43</x:definedName>
    <x:definedName name="_xlnm.Print_Titles" localSheetId="1">'Costeo'!$13:$13</x:definedName>
    <x:definedName name="_xlnm.Print_Area" localSheetId="2">'Parámetros'!$A$1:$F$34</x:definedName>
    <x:definedName name="_xlnm.Print_Area" localSheetId="3">'Proveedores'!$A$1:$L$47</x:definedName>
    <x:definedName name="_xlnm.Print_Titles" localSheetId="3">'Proveedores'!$13:$13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#,##0.00;(#,##0.00);0.00"/>
    <x:numFmt numFmtId="202" formatCode="0.0%"/>
    <x:numFmt numFmtId="203" formatCode="@"/>
    <x:numFmt numFmtId="204" formatCode="0.##"/>
  </x:numFmts>
  <x:fonts count="10">
    <x:font>
      <x:sz val="12"/>
      <x:name val="UM Sans 2"/>
    </x:font>
    <x:font>
      <x:sz val="12"/>
      <x:color rgb="FF333333"/>
      <x:name val="UM Sans 2"/>
    </x:font>
    <x:font>
      <x:b/>
      <x:sz val="20"/>
      <x:color rgb="FF000000"/>
      <x:name val="UM Sans 2"/>
    </x:font>
    <x:font>
      <x:sz val="10"/>
      <x:color rgb="FF666666"/>
      <x:name val="UM Sans 2"/>
    </x:font>
    <x:font>
      <x:b/>
      <x:sz val="10"/>
      <x:color rgb="FFFFFFFF"/>
      <x:name val="UM Sans 2"/>
    </x:font>
    <x:font>
      <x:b/>
      <x:sz val="12"/>
      <x:color rgb="FFFFFFFF"/>
      <x:name val="UM Sans 2"/>
    </x:font>
    <x:font>
      <x:sz val="11"/>
      <x:color rgb="FF666666"/>
      <x:name val="UM Sans 2"/>
    </x:font>
    <x:font>
      <x:sz val="12"/>
      <x:color rgb="FF1A56C0"/>
      <x:name val="UM Sans 2"/>
    </x:font>
    <x:font>
      <x:b/>
      <x:sz val="12"/>
      <x:color rgb="FF000000"/>
      <x:name val="UM Sans 2"/>
    </x:font>
    <x:font>
      <x:sz val="12"/>
      <x:color rgb="FF15803D"/>
      <x:name val="UM Sans 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0000"/>
      </x:patternFill>
    </x:fill>
    <x:fill>
      <x:patternFill patternType="solid">
        <x:fgColor rgb="FFF5F5F5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DC262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DDDDD"/>
      </x:bottom>
      <x:diagonal/>
    </x:border>
    <x:border>
      <x:left/>
      <x:right/>
      <x:top style="thin">
        <x:color rgb="FFDC2626"/>
      </x:top>
      <x:bottom/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vertical="center"/>
    </x:xf>
    <x:xf numFmtId="201" fontId="1" fillId="4" borderId="5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horizontal="right" vertical="center"/>
    </x:xf>
    <x:xf numFmtId="201" fontId="1" fillId="4" borderId="5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horizontal="right" vertical="center"/>
    </x:xf>
    <x:xf numFmtId="0" fontId="5" fillId="3" borderId="6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horizontal="right"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/>
    </x:xf>
    <x:xf numFmtId="0" fontId="7" fillId="2" borderId="5" xfId="0" applyNumberFormat="1" applyFont="1" applyFill="1" applyBorder="1" applyAlignment="1">
      <x:alignment vertical="center"/>
    </x:xf>
    <x:xf numFmtId="200" fontId="7" fillId="4" borderId="5" xfId="0" applyNumberFormat="1" applyFont="1" applyFill="1" applyBorder="1" applyAlignment="1">
      <x:alignment vertical="center"/>
    </x:xf>
    <x:xf numFmtId="202" fontId="7" fillId="4" borderId="5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1" fontId="7" fillId="4" borderId="5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202" fontId="8" fillId="2" borderId="0" xfId="0" applyNumberFormat="1" applyFont="1" applyFill="1" applyBorder="1" applyAlignment="1">
      <x:alignment vertical="center"/>
    </x:xf>
    <x:xf numFmtId="202" fontId="8" fillId="2" borderId="1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203" fontId="1" fillId="2" borderId="5" xfId="0" applyNumberFormat="1" applyFont="1" applyFill="1" applyBorder="1" applyAlignment="1">
      <x:alignment vertical="center"/>
    </x:xf>
    <x:xf numFmtId="203" fontId="1" fillId="4" borderId="5" xfId="0" applyNumberFormat="1" applyFont="1" applyFill="1" applyBorder="1" applyAlignment="1">
      <x:alignment vertical="center"/>
    </x:xf>
    <x:xf numFmtId="203" fontId="7" fillId="4" borderId="5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horizontal="right" vertical="center"/>
    </x:xf>
    <x:xf numFmtId="202" fontId="1" fillId="2" borderId="5" xfId="0" applyNumberFormat="1" applyFont="1" applyFill="1" applyBorder="1" applyAlignment="1">
      <x:alignment horizontal="right" vertical="center"/>
    </x:xf>
    <x:xf numFmtId="202" fontId="1" fillId="4" borderId="5" xfId="0" applyNumberFormat="1" applyFont="1" applyFill="1" applyBorder="1" applyAlignment="1">
      <x:alignment horizontal="right" vertical="center"/>
    </x:xf>
    <x:xf numFmtId="204" fontId="1" fillId="2" borderId="5" xfId="0" applyNumberFormat="1" applyFont="1" applyFill="1" applyBorder="1" applyAlignment="1">
      <x:alignment horizontal="right" vertical="center"/>
    </x:xf>
    <x:xf numFmtId="204" fontId="1" fillId="4" borderId="5" xfId="0" applyNumberFormat="1" applyFont="1" applyFill="1" applyBorder="1" applyAlignment="1">
      <x:alignment horizontal="right" vertical="center"/>
    </x:xf>
    <x:xf numFmtId="201" fontId="9" fillId="2" borderId="5" xfId="0" applyNumberFormat="1" applyFont="1" applyFill="1" applyBorder="1" applyAlignment="1">
      <x:alignment horizontal="right" vertical="center"/>
    </x:xf>
    <x:xf numFmtId="202" fontId="9" fillId="2" borderId="5" xfId="0" applyNumberFormat="1" applyFont="1" applyFill="1" applyBorder="1" applyAlignment="1">
      <x:alignment horizontal="right" vertical="center"/>
    </x:xf>
    <x:xf numFmtId="201" fontId="9" fillId="4" borderId="5" xfId="0" applyNumberFormat="1" applyFont="1" applyFill="1" applyBorder="1" applyAlignment="1">
      <x:alignment horizontal="right" vertical="center"/>
    </x:xf>
    <x:xf numFmtId="202" fontId="9" fillId="4" borderId="5" xfId="0" applyNumberFormat="1" applyFont="1" applyFill="1" applyBorder="1" applyAlignment="1">
      <x:alignment horizontal="right" vertical="center"/>
    </x:xf>
    <x:xf numFmtId="203" fontId="1" fillId="2" borderId="5" xfId="0" applyNumberFormat="1" applyFont="1" applyFill="1" applyBorder="1" applyAlignment="1">
      <x:alignment vertical="center" wrapText="1"/>
    </x:xf>
    <x:xf numFmtId="203" fontId="1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DC2626"/>
      </x:font>
    </x:dxf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5f1444e634434" /><Relationship Type="http://schemas.openxmlformats.org/officeDocument/2006/relationships/theme" Target="/xl/theme/theme1.xml" Id="R4df95326c7a1408a" /><Relationship Type="http://schemas.openxmlformats.org/officeDocument/2006/relationships/sharedStrings" Target="/xl/sharedStrings.xml" Id="R895cd43b0e7a43c6" /><Relationship Type="http://schemas.openxmlformats.org/officeDocument/2006/relationships/worksheet" Target="/xl/worksheets/sheet1.xml" Id="R5f91dc1a120d4196" /><Relationship Type="http://schemas.openxmlformats.org/officeDocument/2006/relationships/worksheet" Target="/xl/worksheets/sheet2.xml" Id="Rbb704652b19043c6" /><Relationship Type="http://schemas.openxmlformats.org/officeDocument/2006/relationships/worksheet" Target="/xl/worksheets/sheet3.xml" Id="Ra853b0d03da04b08" /><Relationship Type="http://schemas.openxmlformats.org/officeDocument/2006/relationships/worksheet" Target="/xl/worksheets/sheet4.xml" Id="R5b4d3ff1f83347ca" 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image" Target="../media/image.png" Id="rId1"/><Relationship Id="rIdUMVector" Type="http://schemas.openxmlformats.org/officeDocument/2006/relationships/image" Target="../media/um-brand.svg"/></Relationships>
</file>

<file path=xl/drawings/_rels/drawing2.xml.rels><?xml version='1.0' encoding='UTF-8' standalone='yes'?>
<Relationships xmlns="http://schemas.openxmlformats.org/package/2006/relationships"><Relationship Type="http://schemas.openxmlformats.org/officeDocument/2006/relationships/image" Target="../media/image2.png" Id="rId1"/><Relationship Id="rIdUMVector" Type="http://schemas.openxmlformats.org/officeDocument/2006/relationships/image" Target="../media/um-brand.svg"/></Relationships>
</file>

<file path=xl/drawings/_rels/drawing3.xml.rels><?xml version='1.0' encoding='UTF-8' standalone='yes'?>
<Relationships xmlns="http://schemas.openxmlformats.org/package/2006/relationships"><Relationship Type="http://schemas.openxmlformats.org/officeDocument/2006/relationships/image" Target="../media/image3.png" Id="rId1"/><Relationship Id="rIdUMVector" Type="http://schemas.openxmlformats.org/officeDocument/2006/relationships/image" Target="../media/um-brand.svg"/></Relationships>
</file>

<file path=xl/drawings/_rels/drawing4.xml.rels><?xml version='1.0' encoding='UTF-8' standalone='yes'?>
<Relationships xmlns="http://schemas.openxmlformats.org/package/2006/relationships"><Relationship Type="http://schemas.openxmlformats.org/officeDocument/2006/relationships/image" Target="../media/image4.png" Id="rId1"/><Relationship Id="rIdUMVector" Type="http://schemas.openxmlformats.org/officeDocument/2006/relationships/image" Target="../media/um-brand.svg"/></Relationships>
</file>

<file path=xl/drawings/drawing1.xml><?xml version="1.0" encoding="utf-8"?>
<xdr:wsDr xmlns:xdr="http://schemas.openxmlformats.org/drawingml/2006/spreadsheetDrawing">
  <xdr:oneCellAnchor>
    <xdr:from>
      <xdr:col>4</xdr:col>
      <xdr:colOff>1577407</xdr:colOff>
      <xdr:row>1</xdr:row>
      <xdr:rowOff>38100</xdr:rowOff>
    </xdr:from>
    <xdr:ext cx="1943100" cy="171858"/>
    <xdr:pic>
      <xdr:nvPicPr>
        <xdr:cNvPr id="1" name="f8eead0d-7636-4c05-a2ab-aef9936277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788866</xdr:colOff>
      <xdr:row>1</xdr:row>
      <xdr:rowOff>38100</xdr:rowOff>
    </xdr:from>
    <xdr:ext cx="1943100" cy="171858"/>
    <xdr:pic>
      <xdr:nvPicPr>
        <xdr:cNvPr id="1" name="28af58d2-295d-4f9d-8ff8-99f8b84bc9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316672</xdr:colOff>
      <xdr:row>1</xdr:row>
      <xdr:rowOff>38100</xdr:rowOff>
    </xdr:from>
    <xdr:ext cx="1943100" cy="171858"/>
    <xdr:pic>
      <xdr:nvPicPr>
        <xdr:cNvPr id="1" name="0707f5f8-6b6b-4293-880d-2f79dc23bf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1471360</xdr:colOff>
      <xdr:row>1</xdr:row>
      <xdr:rowOff>38100</xdr:rowOff>
    </xdr:from>
    <xdr:ext cx="1943100" cy="171858"/>
    <xdr:pic>
      <xdr:nvPicPr>
        <xdr:cNvPr id="1" name="aefdf4a4-fd38-4a95-bd92-21b24bf262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501d7b41eb45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89d4dc338f547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20fbcd4f74c748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10688399b16b4d9b" /></Relationships>
</file>

<file path=xl/worksheets/sheet1.xml><?xml version="1.0" encoding="utf-8"?>
<x:worksheet xmlns:x="http://schemas.openxmlformats.org/spreadsheetml/2006/main">
  <x:sheetPr>
    <x:tabColor rgb="FF000000"/>
    <x:pageSetUpPr fitToPage="1"/>
  </x:sheetPr>
  <x:sheetViews>
    <x:sheetView showGridLines="0" workbookViewId="0"/>
  </x:sheetViews>
  <x:sheetFormatPr defaultRowHeight="15"/>
  <x:cols>
    <x:col min="1" max="1" width="7.78000020980835" hidden="0" customWidth="1"/>
    <x:col min="2" max="2" width="36.66999816894531" hidden="0" customWidth="1"/>
    <x:col min="3" max="3" width="10" hidden="0" customWidth="1"/>
    <x:col min="4" max="4" width="14.4399995803833" hidden="0" customWidth="1"/>
    <x:col min="5" max="5" width="17.219999313354492" hidden="0" customWidth="1"/>
    <x:col min="6" max="6" width="20" hidden="0" customWidth="1"/>
  </x:cols>
  <x:sheetData>
    <x:row r="1" ht="9" customHeight="1">
      <x:c r="A1" s="3"/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8" customHeight="1">
      <x:c r="A3" s="4"/>
      <x:c r="B3" s="4"/>
      <x:c r="C3" s="4"/>
      <x:c r="D3" s="4"/>
      <x:c r="E3" s="4"/>
      <x:c r="F3" s="4"/>
    </x:row>
    <x:row r="4" ht="8" customHeight="1">
      <x:c r="A4" s="3"/>
      <x:c r="B4" s="3"/>
      <x:c r="C4" s="3"/>
      <x:c r="D4" s="3"/>
      <x:c r="E4" s="3"/>
      <x:c r="F4" s="3"/>
    </x:row>
    <x:row r="5" ht="34" customHeight="1">
      <x:c r="A5" s="5" t="str">
        <x:v>Resultado del presupuesto</x:v>
      </x:c>
      <x:c r="B5" s="5"/>
      <x:c r="C5" s="5"/>
      <x:c r="D5" s="5"/>
      <x:c r="E5" s="5"/>
      <x:c r="F5" s="5"/>
    </x:row>
    <x:row r="6" ht="8" customHeight="1">
      <x:c r="A6" s="3"/>
      <x:c r="B6" s="3"/>
      <x:c r="C6" s="3"/>
      <x:c r="D6" s="3"/>
      <x:c r="E6" s="3"/>
      <x:c r="F6" s="3"/>
    </x:row>
    <x:row r="7" ht="12" customHeight="1">
      <x:c r="A7" s="6" t="str">
        <x:v>Cliente</x:v>
      </x:c>
      <x:c r="B7" s="6"/>
      <x:c r="C7" s="6" t="str">
        <x:v>Referencia / licitación</x:v>
      </x:c>
      <x:c r="D7" s="6"/>
      <x:c r="E7" s="6"/>
      <x:c r="F7" s="6"/>
    </x:row>
    <x:row r="8" ht="24" customHeight="1">
      <x:c r="A8" s="3" t="str">
        <x:f>IF('Parámetros'!B26="","",'Parámetros'!B26)</x:f>
      </x:c>
      <x:c r="B8" s="3"/>
      <x:c r="C8" s="3" t="str">
        <x:f>IF('Parámetros'!B28="","",'Parámetros'!B28)</x:f>
      </x:c>
      <x:c r="D8" s="3"/>
      <x:c r="E8" s="3"/>
      <x:c r="F8" s="3"/>
    </x:row>
    <x:row r="9" ht="6" customHeight="1">
      <x:c r="A9" s="3"/>
      <x:c r="B9" s="3"/>
      <x:c r="C9" s="3"/>
      <x:c r="D9" s="3"/>
      <x:c r="E9" s="3"/>
      <x:c r="F9" s="3"/>
    </x:row>
    <x:row r="10" ht="12" customHeight="1">
      <x:c r="A10" s="6" t="str">
        <x:v>Proyecto</x:v>
      </x:c>
      <x:c r="B10" s="6"/>
      <x:c r="C10" s="6" t="str">
        <x:v>Fecha</x:v>
      </x:c>
      <x:c r="D10" s="6"/>
      <x:c r="E10" s="6" t="str">
        <x:v>Moneda de cálculo</x:v>
      </x:c>
      <x:c r="F10" s="6"/>
    </x:row>
    <x:row r="11" ht="24" customHeight="1">
      <x:c r="A11" s="3" t="str">
        <x:f>IF('Parámetros'!B27="","",'Parámetros'!B27)</x:f>
      </x:c>
      <x:c r="B11" s="3"/>
      <x:c r="C11" s="7" t="str">
        <x:f>IF('Parámetros'!B29="","",'Parámetros'!B29)</x:f>
      </x:c>
      <x:c r="D11" s="3"/>
      <x:c r="E11" s="3" t="str">
        <x:v>USD</x:v>
      </x:c>
      <x:c r="F11" s="3"/>
    </x:row>
    <x:row r="12" ht="6" customHeight="1">
      <x:c r="A12" s="3"/>
      <x:c r="B12" s="3"/>
      <x:c r="C12" s="3"/>
      <x:c r="D12" s="3"/>
      <x:c r="E12" s="3"/>
      <x:c r="F12" s="3"/>
    </x:row>
    <x:row r="13" ht="28" customHeight="1">
      <x:c r="A13" s="16" t="str">
        <x:v>Tipo de costo</x:v>
      </x:c>
      <x:c r="B13" s="17"/>
      <x:c r="C13" s="17"/>
      <x:c r="D13" s="17" t="str">
        <x:v>Costo USD</x:v>
      </x:c>
      <x:c r="E13" s="17"/>
      <x:c r="F13" s="18" t="str">
        <x:v>Venta USD</x:v>
      </x:c>
    </x:row>
    <x:row r="14" ht="24" customHeight="1">
      <x:c r="A14" s="19" t="str">
        <x:v>Materiales</x:v>
      </x:c>
      <x:c r="B14" s="19"/>
      <x:c r="C14" s="19"/>
      <x:c r="D14" s="25" t="str">
        <x:f>IF(COUNTIF(Costeo!K14:K43,"Completar")&gt;0,"Completar",IF(COUNT(Costeo!K14:K43)=0,"",SUMIF(Costeo!C14:C43,"Materiales",Costeo!I14:I43)))</x:f>
      </x:c>
      <x:c r="E14" s="25"/>
      <x:c r="F14" s="25" t="str">
        <x:f>IF(COUNTIF(Costeo!K14:K43,"Completar")&gt;0,"Completar",IF(COUNT(Costeo!K14:K43)=0,"",SUMIF(Costeo!C14:C43,"Materiales",Costeo!K14:K43)))</x:f>
      </x:c>
    </x:row>
    <x:row r="15" ht="24" customHeight="1">
      <x:c r="A15" s="21" t="str">
        <x:v>Servicios directos</x:v>
      </x:c>
      <x:c r="B15" s="21"/>
      <x:c r="C15" s="21"/>
      <x:c r="D15" s="26" t="str">
        <x:f>IF(COUNTIF(Costeo!K14:K43,"Completar")&gt;0,"Completar",IF(COUNT(Costeo!K14:K43)=0,"",SUMIF(Costeo!C14:C43,"Servicios directos",Costeo!I14:I43)))</x:f>
      </x:c>
      <x:c r="E15" s="26"/>
      <x:c r="F15" s="26" t="str">
        <x:f>IF(COUNTIF(Costeo!K14:K43,"Completar")&gt;0,"Completar",IF(COUNT(Costeo!K14:K43)=0,"",SUMIF(Costeo!C14:C43,"Servicios directos",Costeo!K14:K43)))</x:f>
      </x:c>
    </x:row>
    <x:row r="16" ht="24" customHeight="1">
      <x:c r="A16" s="19" t="str">
        <x:v>Tercerizados</x:v>
      </x:c>
      <x:c r="B16" s="19"/>
      <x:c r="C16" s="19"/>
      <x:c r="D16" s="25" t="str">
        <x:f>IF(COUNTIF(Costeo!K14:K43,"Completar")&gt;0,"Completar",IF(COUNT(Costeo!K14:K43)=0,"",SUMIF(Costeo!C14:C43,"Tercerizados",Costeo!I14:I43)))</x:f>
      </x:c>
      <x:c r="E16" s="25"/>
      <x:c r="F16" s="25" t="str">
        <x:f>IF(COUNTIF(Costeo!K14:K43,"Completar")&gt;0,"Completar",IF(COUNT(Costeo!K14:K43)=0,"",SUMIF(Costeo!C14:C43,"Tercerizados",Costeo!K14:K43)))</x:f>
      </x:c>
    </x:row>
    <x:row r="17" ht="24" customHeight="1">
      <x:c r="A17" s="21" t="str">
        <x:v>Logística</x:v>
      </x:c>
      <x:c r="B17" s="21"/>
      <x:c r="C17" s="21"/>
      <x:c r="D17" s="26" t="str">
        <x:f>IF(COUNTIF(Costeo!K14:K43,"Completar")&gt;0,"Completar",IF(COUNT(Costeo!K14:K43)=0,"",SUMIF(Costeo!C14:C43,"Logística",Costeo!I14:I43)))</x:f>
      </x:c>
      <x:c r="E17" s="26"/>
      <x:c r="F17" s="26" t="str">
        <x:f>IF(COUNTIF(Costeo!K14:K43,"Completar")&gt;0,"Completar",IF(COUNT(Costeo!K14:K43)=0,"",SUMIF(Costeo!C14:C43,"Logística",Costeo!K14:K43)))</x:f>
      </x:c>
    </x:row>
    <x:row r="18" ht="6" customHeight="1">
      <x:c r="A18" s="3"/>
      <x:c r="B18" s="3"/>
      <x:c r="C18" s="3"/>
      <x:c r="D18" s="27"/>
      <x:c r="E18" s="27"/>
      <x:c r="F18" s="27"/>
    </x:row>
    <x:row r="19" ht="6" customHeight="1">
      <x:c r="A19" s="3"/>
      <x:c r="B19" s="3"/>
      <x:c r="C19" s="3"/>
      <x:c r="D19" s="27"/>
      <x:c r="E19" s="27"/>
      <x:c r="F19" s="27"/>
    </x:row>
    <x:row r="20" ht="24" customHeight="1">
      <x:c r="A20" s="3"/>
      <x:c r="B20" s="3" t="str">
        <x:v>Venta antes de ajustes</x:v>
      </x:c>
      <x:c r="C20" s="3"/>
      <x:c r="D20" s="27"/>
      <x:c r="E20" s="27"/>
      <x:c r="F20" s="27" t="str">
        <x:f>IF(COUNTIF(Costeo!K14:K43,"Completar")&gt;0,"Completar",IF(COUNT(Costeo!K14:K43)=0,"",SUM(Costeo!K14:K43)))</x:f>
      </x:c>
    </x:row>
    <x:row r="21" ht="24" customHeight="1">
      <x:c r="A21" s="3"/>
      <x:c r="B21" s="3" t="str">
        <x:v>Imprevistos</x:v>
      </x:c>
      <x:c r="C21" s="3"/>
      <x:c r="D21" s="27"/>
      <x:c r="E21" s="27"/>
      <x:c r="F21" s="27" t="str">
        <x:f>IF(COUNT(F20,'Parámetros'!B16)&lt;2,"",ROUND(F20*'Parámetros'!B16,2))</x:f>
      </x:c>
    </x:row>
    <x:row r="22" ht="24" customHeight="1">
      <x:c r="A22" s="3"/>
      <x:c r="B22" s="3" t="str">
        <x:v>Bonificación</x:v>
      </x:c>
      <x:c r="C22" s="3"/>
      <x:c r="D22" s="27"/>
      <x:c r="E22" s="27"/>
      <x:c r="F22" s="27" t="str">
        <x:f>IF(COUNT(F20:F21,'Parámetros'!B17)&lt;3,"",ROUND(SUM(F20:F21)*'Parámetros'!B17,2))</x:f>
      </x:c>
    </x:row>
    <x:row r="23" ht="24" customHeight="1">
      <x:c r="A23" s="3"/>
      <x:c r="B23" s="3" t="str">
        <x:v>Neto</x:v>
      </x:c>
      <x:c r="C23" s="3"/>
      <x:c r="D23" s="27"/>
      <x:c r="E23" s="27"/>
      <x:c r="F23" s="27" t="str">
        <x:f>IF(COUNT(F20:F22)&lt;3,"",ROUND(SUM(F20:F21)-F22,2))</x:f>
      </x:c>
    </x:row>
    <x:row r="24" ht="24" customHeight="1">
      <x:c r="A24" s="3"/>
      <x:c r="B24" s="3" t="str">
        <x:v>IVA</x:v>
      </x:c>
      <x:c r="C24" s="3"/>
      <x:c r="D24" s="27"/>
      <x:c r="E24" s="27"/>
      <x:c r="F24" s="27" t="str">
        <x:f>IF(COUNT(F23,'Parámetros'!B18)&lt;2,"",ROUND(F23*'Parámetros'!B18,2))</x:f>
      </x:c>
    </x:row>
    <x:row r="25" ht="24" customHeight="1">
      <x:c r="A25" s="3"/>
      <x:c r="B25" s="31" t="str">
        <x:v>Total USD</x:v>
      </x:c>
      <x:c r="C25" s="31"/>
      <x:c r="D25" s="32"/>
      <x:c r="E25" s="32"/>
      <x:c r="F25" s="32" t="str">
        <x:f>IF(COUNT(F23:F24)&lt;2,"",ROUND(SUM(F23:F24),2))</x:f>
      </x:c>
    </x:row>
    <x:row r="26" ht="6" customHeight="1">
      <x:c r="A26" s="3"/>
      <x:c r="B26" s="3"/>
      <x:c r="C26" s="3"/>
      <x:c r="D26" s="27"/>
      <x:c r="E26" s="27"/>
      <x:c r="F26" s="27"/>
    </x:row>
    <x:row r="27" ht="24" customHeight="1">
      <x:c r="A27" s="3"/>
      <x:c r="B27" s="3" t="str">
        <x:v>Tipo de cambio ARS / USD</x:v>
      </x:c>
      <x:c r="C27" s="3"/>
      <x:c r="D27" s="27"/>
      <x:c r="E27" s="27"/>
      <x:c r="F27" s="27" t="str">
        <x:f>IF(AND(COUNT('Parámetros'!B7)=1,'Parámetros'!B7&gt;0),'Parámetros'!B7,"")</x:f>
      </x:c>
    </x:row>
    <x:row r="28" ht="24" customHeight="1">
      <x:c r="A28" s="3"/>
      <x:c r="B28" s="31" t="str">
        <x:v>Total ARS</x:v>
      </x:c>
      <x:c r="C28" s="31"/>
      <x:c r="D28" s="32"/>
      <x:c r="E28" s="32"/>
      <x:c r="F28" s="32" t="str">
        <x:f>IF(COUNT(F25,F27)&lt;2,"",ROUND(F25*F27,2))</x:f>
      </x:c>
    </x:row>
    <x:row r="29" ht="6" customHeight="1">
      <x:c r="A29" s="3"/>
      <x:c r="B29" s="3"/>
      <x:c r="C29" s="3"/>
      <x:c r="D29" s="3"/>
      <x:c r="E29" s="3"/>
      <x:c r="F29" s="3"/>
    </x:row>
    <x:row r="30" ht="6" customHeight="1">
      <x:c r="A30" s="3"/>
      <x:c r="B30" s="3"/>
      <x:c r="C30" s="3"/>
      <x:c r="D30" s="3"/>
      <x:c r="E30" s="3"/>
      <x:c r="F30" s="3"/>
    </x:row>
    <x:row r="31" ht="12" customHeight="1">
      <x:c r="A31" s="34" t="str">
        <x:v>Uso interno. Completar Parámetros y Costeo antes de cerrar el presupuesto. Para el cliente, trasladar los renglones y exportar sólo la oferta comercial.</x:v>
      </x:c>
      <x:c r="B31" s="34"/>
      <x:c r="C31" s="34"/>
      <x:c r="D31" s="34"/>
      <x:c r="E31" s="34"/>
      <x:c r="F31" s="34"/>
    </x:row>
    <x:row r="32" ht="12" customHeight="1">
      <x:c r="A32" s="34"/>
      <x:c r="B32" s="34"/>
      <x:c r="C32" s="34"/>
      <x:c r="D32" s="34"/>
      <x:c r="E32" s="34"/>
      <x:c r="F32" s="34"/>
    </x:row>
    <x:row r="33" ht="5" customHeight="1">
      <x:c r="A33" s="3"/>
      <x:c r="B33" s="3"/>
      <x:c r="C33" s="3"/>
      <x:c r="D33" s="3"/>
      <x:c r="E33" s="3"/>
      <x:c r="F33" s="3"/>
    </x:row>
    <x:row r="34" ht="12" customHeight="1">
      <x:c r="A34" s="34" t="str">
        <x:v>Los márgenes se calculan sobre la venta: costo / (1 − margen). La bonificación se aplica después de imprevistos; el IVA se calcula sobre el neto.</x:v>
      </x:c>
      <x:c r="B34" s="34"/>
      <x:c r="C34" s="34"/>
      <x:c r="D34" s="34"/>
      <x:c r="E34" s="34"/>
      <x:c r="F34" s="34"/>
    </x:row>
    <x:row r="35" ht="12" customHeight="1">
      <x:c r="A35" s="34"/>
      <x:c r="B35" s="34"/>
      <x:c r="C35" s="34"/>
      <x:c r="D35" s="34"/>
      <x:c r="E35" s="34"/>
      <x:c r="F35" s="34"/>
    </x:row>
    <x:row r="36" ht="6" customHeight="1">
      <x:c r="A36" s="3"/>
      <x:c r="B36" s="3"/>
      <x:c r="C36" s="3"/>
      <x:c r="D36" s="3"/>
      <x:c r="E36" s="3"/>
      <x:c r="F36" s="3"/>
    </x:row>
    <x:row r="37" ht="6" customHeight="1">
      <x:c r="A37" s="3"/>
      <x:c r="B37" s="3"/>
      <x:c r="C37" s="3"/>
      <x:c r="D37" s="3"/>
      <x:c r="E37" s="3"/>
      <x:c r="F37" s="3"/>
    </x:row>
    <x:row r="38" ht="12" customHeight="1">
      <x:c r="A38" s="34" t="str">
        <x:v>Si falta un dato, el total queda sin cerrar. Ingresar 0 cuando un ajuste o impuesto no corresponda.</x:v>
      </x:c>
      <x:c r="B38" s="34"/>
      <x:c r="C38" s="34"/>
      <x:c r="D38" s="34"/>
      <x:c r="E38" s="34"/>
      <x:c r="F38" s="34"/>
    </x:row>
    <x:row r="39" ht="12" customHeight="1">
      <x:c r="A39" s="34"/>
      <x:c r="B39" s="34"/>
      <x:c r="C39" s="34"/>
      <x:c r="D39" s="34"/>
      <x:c r="E39" s="34"/>
      <x:c r="F39" s="34"/>
    </x:row>
  </x:sheetData>
  <x:mergeCells>
    <x:mergeCell ref="A5:F5"/>
    <x:mergeCell ref="A7:B7"/>
    <x:mergeCell ref="C7:F7"/>
    <x:mergeCell ref="A8:B8"/>
    <x:mergeCell ref="C8:F8"/>
    <x:mergeCell ref="A10:B10"/>
    <x:mergeCell ref="C10:D10"/>
    <x:mergeCell ref="E10:F10"/>
    <x:mergeCell ref="A11:B11"/>
    <x:mergeCell ref="C11:D11"/>
    <x:mergeCell ref="E11:F11"/>
    <x:mergeCell ref="A13:C13"/>
    <x:mergeCell ref="D13:E13"/>
    <x:mergeCell ref="A14:C14"/>
    <x:mergeCell ref="D14:E14"/>
    <x:mergeCell ref="A15:C15"/>
    <x:mergeCell ref="D15:E15"/>
    <x:mergeCell ref="A16:C16"/>
    <x:mergeCell ref="D16:E16"/>
    <x:mergeCell ref="A17:C17"/>
    <x:mergeCell ref="D17:E17"/>
    <x:mergeCell ref="B20:E20"/>
    <x:mergeCell ref="B21:E21"/>
    <x:mergeCell ref="B22:E22"/>
    <x:mergeCell ref="B23:E23"/>
    <x:mergeCell ref="B24:E24"/>
    <x:mergeCell ref="B25:E25"/>
    <x:mergeCell ref="B27:E27"/>
    <x:mergeCell ref="B28:E28"/>
    <x:mergeCell ref="A31:F32"/>
    <x:mergeCell ref="A34:F35"/>
    <x:mergeCell ref="A38:F39"/>
  </x:mergeCells>
  <x:pageMargins left="0.4" right="0.4" top="0.35" bottom="0.4" header="0.15" footer="0.2"/>
  <x:pageSetup paperSize="9" orientation="landscape" fitToWidth="1" fitToHeight="0"/>
  <x:headerFooter>
    <x:oddFooter>&amp;L&amp;"UM Sans 2,Regular"&amp;9ULTIMA MILLA S.A. · Uso interno&amp;R&amp;P / &amp;N</x:oddFooter>
  </x:headerFooter>
  <x:drawing xmlns:r="http://schemas.openxmlformats.org/officeDocument/2006/relationships" r:id="R41501d7b41eb45a9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1.109999656677246" hidden="0" customWidth="1"/>
    <x:col min="2" max="2" width="12.779999732971191" hidden="0" customWidth="1"/>
    <x:col min="3" max="3" width="15.5600004196167" hidden="0" customWidth="1"/>
    <x:col min="4" max="4" width="33.33000183105469" hidden="0" customWidth="1"/>
    <x:col min="5" max="5" width="8.329999923706055" hidden="0" customWidth="1"/>
    <x:col min="6" max="6" width="10" hidden="0" customWidth="1"/>
    <x:col min="7" max="7" width="8.890000343322754" hidden="0" customWidth="1"/>
    <x:col min="8" max="8" width="13.890000343322754" hidden="0" customWidth="1"/>
    <x:col min="9" max="9" width="13.890000343322754" hidden="0" customWidth="1"/>
    <x:col min="10" max="10" width="10" hidden="0" customWidth="1"/>
    <x:col min="11" max="11" width="13.890000343322754" hidden="0" customWidth="1"/>
    <x:col min="12" max="12" width="15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8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4" customHeight="1">
      <x:c r="A5" s="5" t="str">
        <x:v>Cómputo y costeo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27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27" customHeight="1">
      <x:c r="A7" s="34" t="str">
        <x:v>Una fila por renglón y componente de costo. Sector / piso conserva el frente de trabajo; la moneda se declara en cada fila.</x:v>
      </x:c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</x:row>
    <x:row r="8" ht="27" customHeight="1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</x:row>
    <x:row r="9" ht="27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7" customHeight="1">
      <x:c r="A10" s="34" t="str">
        <x:v>Completar costo unitario o usar DH / HH en USD. La cantidad puede ser 0; una fila incompleta muestra «Completar».</x:v>
      </x:c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</x:row>
    <x:row r="11" ht="27" customHeight="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</x:row>
    <x:row r="12" ht="27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42" customHeight="1">
      <x:c r="A13" s="16" t="str">
        <x:v>Renglón / código</x:v>
      </x:c>
      <x:c r="B13" s="17" t="str">
        <x:v>Sector / piso</x:v>
      </x:c>
      <x:c r="C13" s="17" t="str">
        <x:v>Tipo</x:v>
      </x:c>
      <x:c r="D13" s="17" t="str">
        <x:v>Descripción</x:v>
      </x:c>
      <x:c r="E13" s="17" t="str">
        <x:v>Unidad</x:v>
      </x:c>
      <x:c r="F13" s="17" t="str">
        <x:v>Cantidad</x:v>
      </x:c>
      <x:c r="G13" s="17" t="str">
        <x:v>Moneda</x:v>
      </x:c>
      <x:c r="H13" s="17" t="str">
        <x:v>Costo unitario</x:v>
      </x:c>
      <x:c r="I13" s="17" t="str">
        <x:v>Costo USD</x:v>
      </x:c>
      <x:c r="J13" s="17" t="str">
        <x:v>Margen</x:v>
      </x:c>
      <x:c r="K13" s="17" t="str">
        <x:v>Venta USD</x:v>
      </x:c>
      <x:c r="L13" s="18" t="str">
        <x:v>Venta ARS</x:v>
      </x:c>
    </x:row>
    <x:row r="14" ht="32" customHeight="1">
      <x:c r="A14" s="48"/>
      <x:c r="B14" s="48"/>
      <x:c r="C14" s="19"/>
      <x:c r="D14" s="46"/>
      <x:c r="E14" s="19"/>
      <x:c r="F14" s="55"/>
      <x:c r="G14" s="51"/>
      <x:c r="H14" s="25"/>
      <x:c r="I14" s="57" t="str">
        <x:f>IF(COUNTA(A14:H14)=0,"",IF(OR(A14="",B14="",D14="",E14="",COUNT(F14)&lt;1,COUNTIF('Parámetros'!A11:A14,C14)&lt;&gt;1,AND(G14&lt;&gt;"USD",G14&lt;&gt;"ARS"),AND(COUNT(H14)=0,NOT(AND(G14="USD",OR(E14="DH",E14="HH"),COUNT(IF(E14="DH",'Parámetros'!B21,'Parámetros'!B22))=1)))),"Completar",IF(AND(G14="ARS",OR(COUNT('Parámetros'!B7)=0,'Parámetros'!B7&lt;=0)),"Completar",ROUND(F14*IF(COUNT(H14)=1,H14,IF(E14="DH",'Parámetros'!B21,'Parámetros'!B22))/IF(G14="ARS",'Parámetros'!B7,1),2))))</x:f>
      </x:c>
      <x:c r="J14" s="58" t="str">
        <x:f>IF(COUNTA(A14:H14)=0,"",IF(COUNTIF('Parámetros'!A11:A14,C14)&lt;&gt;1,"Completar",IF(COUNT(INDEX('Parámetros'!B11:B14,MATCH(C14,'Parámetros'!A11:A14,0)))=0,"Completar",INDEX('Parámetros'!B11:B14,MATCH(C14,'Parámetros'!A11:A14,0)))))</x:f>
      </x:c>
      <x:c r="K14" s="57" t="str">
        <x:f>IF(COUNTA(A14:H14)=0,"",IF(OR(COUNT(I14:J14)&lt;2,J14&lt;0,J14&gt;=1),"Completar",ROUND(I14/(1-J14),2)))</x:f>
      </x:c>
      <x:c r="L14" s="57" t="str">
        <x:f>IF(COUNTA(A14:H14)=0,"",IF(COUNT(K14)=0,"Completar",IF(OR(COUNT('Parámetros'!B7)=0,'Parámetros'!B7&lt;=0),"Falta TC",ROUND(K14*'Parámetros'!B7,2))))</x:f>
      </x:c>
    </x:row>
    <x:row r="15" ht="32" customHeight="1">
      <x:c r="A15" s="49"/>
      <x:c r="B15" s="49"/>
      <x:c r="C15" s="21"/>
      <x:c r="D15" s="47"/>
      <x:c r="E15" s="21"/>
      <x:c r="F15" s="56"/>
      <x:c r="G15" s="52"/>
      <x:c r="H15" s="26"/>
      <x:c r="I15" s="59" t="str">
        <x:f>IF(COUNTA(A15:H15)=0,"",IF(OR(A15="",B15="",D15="",E15="",COUNT(F15)&lt;1,COUNTIF('Parámetros'!A11:A14,C15)&lt;&gt;1,AND(G15&lt;&gt;"USD",G15&lt;&gt;"ARS"),AND(COUNT(H15)=0,NOT(AND(G15="USD",OR(E15="DH",E15="HH"),COUNT(IF(E15="DH",'Parámetros'!B21,'Parámetros'!B22))=1)))),"Completar",IF(AND(G15="ARS",OR(COUNT('Parámetros'!B7)=0,'Parámetros'!B7&lt;=0)),"Completar",ROUND(F15*IF(COUNT(H15)=1,H15,IF(E15="DH",'Parámetros'!B21,'Parámetros'!B22))/IF(G15="ARS",'Parámetros'!B7,1),2))))</x:f>
      </x:c>
      <x:c r="J15" s="60" t="str">
        <x:f>IF(COUNTA(A15:H15)=0,"",IF(COUNTIF('Parámetros'!A11:A14,C15)&lt;&gt;1,"Completar",IF(COUNT(INDEX('Parámetros'!B11:B14,MATCH(C15,'Parámetros'!A11:A14,0)))=0,"Completar",INDEX('Parámetros'!B11:B14,MATCH(C15,'Parámetros'!A11:A14,0)))))</x:f>
      </x:c>
      <x:c r="K15" s="59" t="str">
        <x:f>IF(COUNTA(A15:H15)=0,"",IF(OR(COUNT(I15:J15)&lt;2,J15&lt;0,J15&gt;=1),"Completar",ROUND(I15/(1-J15),2)))</x:f>
      </x:c>
      <x:c r="L15" s="59" t="str">
        <x:f>IF(COUNTA(A15:H15)=0,"",IF(COUNT(K15)=0,"Completar",IF(OR(COUNT('Parámetros'!B7)=0,'Parámetros'!B7&lt;=0),"Falta TC",ROUND(K15*'Parámetros'!B7,2))))</x:f>
      </x:c>
    </x:row>
    <x:row r="16" ht="32" customHeight="1">
      <x:c r="A16" s="48"/>
      <x:c r="B16" s="48"/>
      <x:c r="C16" s="19"/>
      <x:c r="D16" s="46"/>
      <x:c r="E16" s="19"/>
      <x:c r="F16" s="55"/>
      <x:c r="G16" s="51"/>
      <x:c r="H16" s="25"/>
      <x:c r="I16" s="57" t="str">
        <x:f>IF(COUNTA(A16:H16)=0,"",IF(OR(A16="",B16="",D16="",E16="",COUNT(F16)&lt;1,COUNTIF('Parámetros'!A11:A14,C16)&lt;&gt;1,AND(G16&lt;&gt;"USD",G16&lt;&gt;"ARS"),AND(COUNT(H16)=0,NOT(AND(G16="USD",OR(E16="DH",E16="HH"),COUNT(IF(E16="DH",'Parámetros'!B21,'Parámetros'!B22))=1)))),"Completar",IF(AND(G16="ARS",OR(COUNT('Parámetros'!B7)=0,'Parámetros'!B7&lt;=0)),"Completar",ROUND(F16*IF(COUNT(H16)=1,H16,IF(E16="DH",'Parámetros'!B21,'Parámetros'!B22))/IF(G16="ARS",'Parámetros'!B7,1),2))))</x:f>
      </x:c>
      <x:c r="J16" s="58" t="str">
        <x:f>IF(COUNTA(A16:H16)=0,"",IF(COUNTIF('Parámetros'!A11:A14,C16)&lt;&gt;1,"Completar",IF(COUNT(INDEX('Parámetros'!B11:B14,MATCH(C16,'Parámetros'!A11:A14,0)))=0,"Completar",INDEX('Parámetros'!B11:B14,MATCH(C16,'Parámetros'!A11:A14,0)))))</x:f>
      </x:c>
      <x:c r="K16" s="57" t="str">
        <x:f>IF(COUNTA(A16:H16)=0,"",IF(OR(COUNT(I16:J16)&lt;2,J16&lt;0,J16&gt;=1),"Completar",ROUND(I16/(1-J16),2)))</x:f>
      </x:c>
      <x:c r="L16" s="57" t="str">
        <x:f>IF(COUNTA(A16:H16)=0,"",IF(COUNT(K16)=0,"Completar",IF(OR(COUNT('Parámetros'!B7)=0,'Parámetros'!B7&lt;=0),"Falta TC",ROUND(K16*'Parámetros'!B7,2))))</x:f>
      </x:c>
    </x:row>
    <x:row r="17" ht="32" customHeight="1">
      <x:c r="A17" s="49"/>
      <x:c r="B17" s="49"/>
      <x:c r="C17" s="21"/>
      <x:c r="D17" s="47"/>
      <x:c r="E17" s="21"/>
      <x:c r="F17" s="56"/>
      <x:c r="G17" s="52"/>
      <x:c r="H17" s="26"/>
      <x:c r="I17" s="59" t="str">
        <x:f>IF(COUNTA(A17:H17)=0,"",IF(OR(A17="",B17="",D17="",E17="",COUNT(F17)&lt;1,COUNTIF('Parámetros'!A11:A14,C17)&lt;&gt;1,AND(G17&lt;&gt;"USD",G17&lt;&gt;"ARS"),AND(COUNT(H17)=0,NOT(AND(G17="USD",OR(E17="DH",E17="HH"),COUNT(IF(E17="DH",'Parámetros'!B21,'Parámetros'!B22))=1)))),"Completar",IF(AND(G17="ARS",OR(COUNT('Parámetros'!B7)=0,'Parámetros'!B7&lt;=0)),"Completar",ROUND(F17*IF(COUNT(H17)=1,H17,IF(E17="DH",'Parámetros'!B21,'Parámetros'!B22))/IF(G17="ARS",'Parámetros'!B7,1),2))))</x:f>
      </x:c>
      <x:c r="J17" s="60" t="str">
        <x:f>IF(COUNTA(A17:H17)=0,"",IF(COUNTIF('Parámetros'!A11:A14,C17)&lt;&gt;1,"Completar",IF(COUNT(INDEX('Parámetros'!B11:B14,MATCH(C17,'Parámetros'!A11:A14,0)))=0,"Completar",INDEX('Parámetros'!B11:B14,MATCH(C17,'Parámetros'!A11:A14,0)))))</x:f>
      </x:c>
      <x:c r="K17" s="59" t="str">
        <x:f>IF(COUNTA(A17:H17)=0,"",IF(OR(COUNT(I17:J17)&lt;2,J17&lt;0,J17&gt;=1),"Completar",ROUND(I17/(1-J17),2)))</x:f>
      </x:c>
      <x:c r="L17" s="59" t="str">
        <x:f>IF(COUNTA(A17:H17)=0,"",IF(COUNT(K17)=0,"Completar",IF(OR(COUNT('Parámetros'!B7)=0,'Parámetros'!B7&lt;=0),"Falta TC",ROUND(K17*'Parámetros'!B7,2))))</x:f>
      </x:c>
    </x:row>
    <x:row r="18" ht="32" customHeight="1">
      <x:c r="A18" s="48"/>
      <x:c r="B18" s="48"/>
      <x:c r="C18" s="19"/>
      <x:c r="D18" s="46"/>
      <x:c r="E18" s="19"/>
      <x:c r="F18" s="55"/>
      <x:c r="G18" s="51"/>
      <x:c r="H18" s="25"/>
      <x:c r="I18" s="57" t="str">
        <x:f>IF(COUNTA(A18:H18)=0,"",IF(OR(A18="",B18="",D18="",E18="",COUNT(F18)&lt;1,COUNTIF('Parámetros'!A11:A14,C18)&lt;&gt;1,AND(G18&lt;&gt;"USD",G18&lt;&gt;"ARS"),AND(COUNT(H18)=0,NOT(AND(G18="USD",OR(E18="DH",E18="HH"),COUNT(IF(E18="DH",'Parámetros'!B21,'Parámetros'!B22))=1)))),"Completar",IF(AND(G18="ARS",OR(COUNT('Parámetros'!B7)=0,'Parámetros'!B7&lt;=0)),"Completar",ROUND(F18*IF(COUNT(H18)=1,H18,IF(E18="DH",'Parámetros'!B21,'Parámetros'!B22))/IF(G18="ARS",'Parámetros'!B7,1),2))))</x:f>
      </x:c>
      <x:c r="J18" s="58" t="str">
        <x:f>IF(COUNTA(A18:H18)=0,"",IF(COUNTIF('Parámetros'!A11:A14,C18)&lt;&gt;1,"Completar",IF(COUNT(INDEX('Parámetros'!B11:B14,MATCH(C18,'Parámetros'!A11:A14,0)))=0,"Completar",INDEX('Parámetros'!B11:B14,MATCH(C18,'Parámetros'!A11:A14,0)))))</x:f>
      </x:c>
      <x:c r="K18" s="57" t="str">
        <x:f>IF(COUNTA(A18:H18)=0,"",IF(OR(COUNT(I18:J18)&lt;2,J18&lt;0,J18&gt;=1),"Completar",ROUND(I18/(1-J18),2)))</x:f>
      </x:c>
      <x:c r="L18" s="57" t="str">
        <x:f>IF(COUNTA(A18:H18)=0,"",IF(COUNT(K18)=0,"Completar",IF(OR(COUNT('Parámetros'!B7)=0,'Parámetros'!B7&lt;=0),"Falta TC",ROUND(K18*'Parámetros'!B7,2))))</x:f>
      </x:c>
    </x:row>
    <x:row r="19" ht="32" customHeight="1">
      <x:c r="A19" s="49"/>
      <x:c r="B19" s="49"/>
      <x:c r="C19" s="21"/>
      <x:c r="D19" s="47"/>
      <x:c r="E19" s="21"/>
      <x:c r="F19" s="56"/>
      <x:c r="G19" s="52"/>
      <x:c r="H19" s="26"/>
      <x:c r="I19" s="59" t="str">
        <x:f>IF(COUNTA(A19:H19)=0,"",IF(OR(A19="",B19="",D19="",E19="",COUNT(F19)&lt;1,COUNTIF('Parámetros'!A11:A14,C19)&lt;&gt;1,AND(G19&lt;&gt;"USD",G19&lt;&gt;"ARS"),AND(COUNT(H19)=0,NOT(AND(G19="USD",OR(E19="DH",E19="HH"),COUNT(IF(E19="DH",'Parámetros'!B21,'Parámetros'!B22))=1)))),"Completar",IF(AND(G19="ARS",OR(COUNT('Parámetros'!B7)=0,'Parámetros'!B7&lt;=0)),"Completar",ROUND(F19*IF(COUNT(H19)=1,H19,IF(E19="DH",'Parámetros'!B21,'Parámetros'!B22))/IF(G19="ARS",'Parámetros'!B7,1),2))))</x:f>
      </x:c>
      <x:c r="J19" s="60" t="str">
        <x:f>IF(COUNTA(A19:H19)=0,"",IF(COUNTIF('Parámetros'!A11:A14,C19)&lt;&gt;1,"Completar",IF(COUNT(INDEX('Parámetros'!B11:B14,MATCH(C19,'Parámetros'!A11:A14,0)))=0,"Completar",INDEX('Parámetros'!B11:B14,MATCH(C19,'Parámetros'!A11:A14,0)))))</x:f>
      </x:c>
      <x:c r="K19" s="59" t="str">
        <x:f>IF(COUNTA(A19:H19)=0,"",IF(OR(COUNT(I19:J19)&lt;2,J19&lt;0,J19&gt;=1),"Completar",ROUND(I19/(1-J19),2)))</x:f>
      </x:c>
      <x:c r="L19" s="59" t="str">
        <x:f>IF(COUNTA(A19:H19)=0,"",IF(COUNT(K19)=0,"Completar",IF(OR(COUNT('Parámetros'!B7)=0,'Parámetros'!B7&lt;=0),"Falta TC",ROUND(K19*'Parámetros'!B7,2))))</x:f>
      </x:c>
    </x:row>
    <x:row r="20" ht="32" customHeight="1">
      <x:c r="A20" s="48"/>
      <x:c r="B20" s="48"/>
      <x:c r="C20" s="19"/>
      <x:c r="D20" s="46"/>
      <x:c r="E20" s="19"/>
      <x:c r="F20" s="55"/>
      <x:c r="G20" s="51"/>
      <x:c r="H20" s="25"/>
      <x:c r="I20" s="57" t="str">
        <x:f>IF(COUNTA(A20:H20)=0,"",IF(OR(A20="",B20="",D20="",E20="",COUNT(F20)&lt;1,COUNTIF('Parámetros'!A11:A14,C20)&lt;&gt;1,AND(G20&lt;&gt;"USD",G20&lt;&gt;"ARS"),AND(COUNT(H20)=0,NOT(AND(G20="USD",OR(E20="DH",E20="HH"),COUNT(IF(E20="DH",'Parámetros'!B21,'Parámetros'!B22))=1)))),"Completar",IF(AND(G20="ARS",OR(COUNT('Parámetros'!B7)=0,'Parámetros'!B7&lt;=0)),"Completar",ROUND(F20*IF(COUNT(H20)=1,H20,IF(E20="DH",'Parámetros'!B21,'Parámetros'!B22))/IF(G20="ARS",'Parámetros'!B7,1),2))))</x:f>
      </x:c>
      <x:c r="J20" s="58" t="str">
        <x:f>IF(COUNTA(A20:H20)=0,"",IF(COUNTIF('Parámetros'!A11:A14,C20)&lt;&gt;1,"Completar",IF(COUNT(INDEX('Parámetros'!B11:B14,MATCH(C20,'Parámetros'!A11:A14,0)))=0,"Completar",INDEX('Parámetros'!B11:B14,MATCH(C20,'Parámetros'!A11:A14,0)))))</x:f>
      </x:c>
      <x:c r="K20" s="57" t="str">
        <x:f>IF(COUNTA(A20:H20)=0,"",IF(OR(COUNT(I20:J20)&lt;2,J20&lt;0,J20&gt;=1),"Completar",ROUND(I20/(1-J20),2)))</x:f>
      </x:c>
      <x:c r="L20" s="57" t="str">
        <x:f>IF(COUNTA(A20:H20)=0,"",IF(COUNT(K20)=0,"Completar",IF(OR(COUNT('Parámetros'!B7)=0,'Parámetros'!B7&lt;=0),"Falta TC",ROUND(K20*'Parámetros'!B7,2))))</x:f>
      </x:c>
    </x:row>
    <x:row r="21" ht="32" customHeight="1">
      <x:c r="A21" s="49"/>
      <x:c r="B21" s="49"/>
      <x:c r="C21" s="21"/>
      <x:c r="D21" s="47"/>
      <x:c r="E21" s="21"/>
      <x:c r="F21" s="56"/>
      <x:c r="G21" s="52"/>
      <x:c r="H21" s="26"/>
      <x:c r="I21" s="59" t="str">
        <x:f>IF(COUNTA(A21:H21)=0,"",IF(OR(A21="",B21="",D21="",E21="",COUNT(F21)&lt;1,COUNTIF('Parámetros'!A11:A14,C21)&lt;&gt;1,AND(G21&lt;&gt;"USD",G21&lt;&gt;"ARS"),AND(COUNT(H21)=0,NOT(AND(G21="USD",OR(E21="DH",E21="HH"),COUNT(IF(E21="DH",'Parámetros'!B21,'Parámetros'!B22))=1)))),"Completar",IF(AND(G21="ARS",OR(COUNT('Parámetros'!B7)=0,'Parámetros'!B7&lt;=0)),"Completar",ROUND(F21*IF(COUNT(H21)=1,H21,IF(E21="DH",'Parámetros'!B21,'Parámetros'!B22))/IF(G21="ARS",'Parámetros'!B7,1),2))))</x:f>
      </x:c>
      <x:c r="J21" s="60" t="str">
        <x:f>IF(COUNTA(A21:H21)=0,"",IF(COUNTIF('Parámetros'!A11:A14,C21)&lt;&gt;1,"Completar",IF(COUNT(INDEX('Parámetros'!B11:B14,MATCH(C21,'Parámetros'!A11:A14,0)))=0,"Completar",INDEX('Parámetros'!B11:B14,MATCH(C21,'Parámetros'!A11:A14,0)))))</x:f>
      </x:c>
      <x:c r="K21" s="59" t="str">
        <x:f>IF(COUNTA(A21:H21)=0,"",IF(OR(COUNT(I21:J21)&lt;2,J21&lt;0,J21&gt;=1),"Completar",ROUND(I21/(1-J21),2)))</x:f>
      </x:c>
      <x:c r="L21" s="59" t="str">
        <x:f>IF(COUNTA(A21:H21)=0,"",IF(COUNT(K21)=0,"Completar",IF(OR(COUNT('Parámetros'!B7)=0,'Parámetros'!B7&lt;=0),"Falta TC",ROUND(K21*'Parámetros'!B7,2))))</x:f>
      </x:c>
    </x:row>
    <x:row r="22" ht="32" customHeight="1">
      <x:c r="A22" s="48"/>
      <x:c r="B22" s="48"/>
      <x:c r="C22" s="19"/>
      <x:c r="D22" s="46"/>
      <x:c r="E22" s="19"/>
      <x:c r="F22" s="55"/>
      <x:c r="G22" s="51"/>
      <x:c r="H22" s="25"/>
      <x:c r="I22" s="57" t="str">
        <x:f>IF(COUNTA(A22:H22)=0,"",IF(OR(A22="",B22="",D22="",E22="",COUNT(F22)&lt;1,COUNTIF('Parámetros'!A11:A14,C22)&lt;&gt;1,AND(G22&lt;&gt;"USD",G22&lt;&gt;"ARS"),AND(COUNT(H22)=0,NOT(AND(G22="USD",OR(E22="DH",E22="HH"),COUNT(IF(E22="DH",'Parámetros'!B21,'Parámetros'!B22))=1)))),"Completar",IF(AND(G22="ARS",OR(COUNT('Parámetros'!B7)=0,'Parámetros'!B7&lt;=0)),"Completar",ROUND(F22*IF(COUNT(H22)=1,H22,IF(E22="DH",'Parámetros'!B21,'Parámetros'!B22))/IF(G22="ARS",'Parámetros'!B7,1),2))))</x:f>
      </x:c>
      <x:c r="J22" s="58" t="str">
        <x:f>IF(COUNTA(A22:H22)=0,"",IF(COUNTIF('Parámetros'!A11:A14,C22)&lt;&gt;1,"Completar",IF(COUNT(INDEX('Parámetros'!B11:B14,MATCH(C22,'Parámetros'!A11:A14,0)))=0,"Completar",INDEX('Parámetros'!B11:B14,MATCH(C22,'Parámetros'!A11:A14,0)))))</x:f>
      </x:c>
      <x:c r="K22" s="57" t="str">
        <x:f>IF(COUNTA(A22:H22)=0,"",IF(OR(COUNT(I22:J22)&lt;2,J22&lt;0,J22&gt;=1),"Completar",ROUND(I22/(1-J22),2)))</x:f>
      </x:c>
      <x:c r="L22" s="57" t="str">
        <x:f>IF(COUNTA(A22:H22)=0,"",IF(COUNT(K22)=0,"Completar",IF(OR(COUNT('Parámetros'!B7)=0,'Parámetros'!B7&lt;=0),"Falta TC",ROUND(K22*'Parámetros'!B7,2))))</x:f>
      </x:c>
    </x:row>
    <x:row r="23" ht="32" customHeight="1">
      <x:c r="A23" s="49"/>
      <x:c r="B23" s="49"/>
      <x:c r="C23" s="21"/>
      <x:c r="D23" s="47"/>
      <x:c r="E23" s="21"/>
      <x:c r="F23" s="56"/>
      <x:c r="G23" s="52"/>
      <x:c r="H23" s="26"/>
      <x:c r="I23" s="59" t="str">
        <x:f>IF(COUNTA(A23:H23)=0,"",IF(OR(A23="",B23="",D23="",E23="",COUNT(F23)&lt;1,COUNTIF('Parámetros'!A11:A14,C23)&lt;&gt;1,AND(G23&lt;&gt;"USD",G23&lt;&gt;"ARS"),AND(COUNT(H23)=0,NOT(AND(G23="USD",OR(E23="DH",E23="HH"),COUNT(IF(E23="DH",'Parámetros'!B21,'Parámetros'!B22))=1)))),"Completar",IF(AND(G23="ARS",OR(COUNT('Parámetros'!B7)=0,'Parámetros'!B7&lt;=0)),"Completar",ROUND(F23*IF(COUNT(H23)=1,H23,IF(E23="DH",'Parámetros'!B21,'Parámetros'!B22))/IF(G23="ARS",'Parámetros'!B7,1),2))))</x:f>
      </x:c>
      <x:c r="J23" s="60" t="str">
        <x:f>IF(COUNTA(A23:H23)=0,"",IF(COUNTIF('Parámetros'!A11:A14,C23)&lt;&gt;1,"Completar",IF(COUNT(INDEX('Parámetros'!B11:B14,MATCH(C23,'Parámetros'!A11:A14,0)))=0,"Completar",INDEX('Parámetros'!B11:B14,MATCH(C23,'Parámetros'!A11:A14,0)))))</x:f>
      </x:c>
      <x:c r="K23" s="59" t="str">
        <x:f>IF(COUNTA(A23:H23)=0,"",IF(OR(COUNT(I23:J23)&lt;2,J23&lt;0,J23&gt;=1),"Completar",ROUND(I23/(1-J23),2)))</x:f>
      </x:c>
      <x:c r="L23" s="59" t="str">
        <x:f>IF(COUNTA(A23:H23)=0,"",IF(COUNT(K23)=0,"Completar",IF(OR(COUNT('Parámetros'!B7)=0,'Parámetros'!B7&lt;=0),"Falta TC",ROUND(K23*'Parámetros'!B7,2))))</x:f>
      </x:c>
    </x:row>
    <x:row r="24" ht="32" customHeight="1">
      <x:c r="A24" s="48"/>
      <x:c r="B24" s="48"/>
      <x:c r="C24" s="19"/>
      <x:c r="D24" s="46"/>
      <x:c r="E24" s="19"/>
      <x:c r="F24" s="55"/>
      <x:c r="G24" s="51"/>
      <x:c r="H24" s="25"/>
      <x:c r="I24" s="57" t="str">
        <x:f>IF(COUNTA(A24:H24)=0,"",IF(OR(A24="",B24="",D24="",E24="",COUNT(F24)&lt;1,COUNTIF('Parámetros'!A11:A14,C24)&lt;&gt;1,AND(G24&lt;&gt;"USD",G24&lt;&gt;"ARS"),AND(COUNT(H24)=0,NOT(AND(G24="USD",OR(E24="DH",E24="HH"),COUNT(IF(E24="DH",'Parámetros'!B21,'Parámetros'!B22))=1)))),"Completar",IF(AND(G24="ARS",OR(COUNT('Parámetros'!B7)=0,'Parámetros'!B7&lt;=0)),"Completar",ROUND(F24*IF(COUNT(H24)=1,H24,IF(E24="DH",'Parámetros'!B21,'Parámetros'!B22))/IF(G24="ARS",'Parámetros'!B7,1),2))))</x:f>
      </x:c>
      <x:c r="J24" s="58" t="str">
        <x:f>IF(COUNTA(A24:H24)=0,"",IF(COUNTIF('Parámetros'!A11:A14,C24)&lt;&gt;1,"Completar",IF(COUNT(INDEX('Parámetros'!B11:B14,MATCH(C24,'Parámetros'!A11:A14,0)))=0,"Completar",INDEX('Parámetros'!B11:B14,MATCH(C24,'Parámetros'!A11:A14,0)))))</x:f>
      </x:c>
      <x:c r="K24" s="57" t="str">
        <x:f>IF(COUNTA(A24:H24)=0,"",IF(OR(COUNT(I24:J24)&lt;2,J24&lt;0,J24&gt;=1),"Completar",ROUND(I24/(1-J24),2)))</x:f>
      </x:c>
      <x:c r="L24" s="57" t="str">
        <x:f>IF(COUNTA(A24:H24)=0,"",IF(COUNT(K24)=0,"Completar",IF(OR(COUNT('Parámetros'!B7)=0,'Parámetros'!B7&lt;=0),"Falta TC",ROUND(K24*'Parámetros'!B7,2))))</x:f>
      </x:c>
    </x:row>
    <x:row r="25" ht="32" customHeight="1">
      <x:c r="A25" s="49"/>
      <x:c r="B25" s="49"/>
      <x:c r="C25" s="21"/>
      <x:c r="D25" s="47"/>
      <x:c r="E25" s="21"/>
      <x:c r="F25" s="56"/>
      <x:c r="G25" s="52"/>
      <x:c r="H25" s="26"/>
      <x:c r="I25" s="59" t="str">
        <x:f>IF(COUNTA(A25:H25)=0,"",IF(OR(A25="",B25="",D25="",E25="",COUNT(F25)&lt;1,COUNTIF('Parámetros'!A11:A14,C25)&lt;&gt;1,AND(G25&lt;&gt;"USD",G25&lt;&gt;"ARS"),AND(COUNT(H25)=0,NOT(AND(G25="USD",OR(E25="DH",E25="HH"),COUNT(IF(E25="DH",'Parámetros'!B21,'Parámetros'!B22))=1)))),"Completar",IF(AND(G25="ARS",OR(COUNT('Parámetros'!B7)=0,'Parámetros'!B7&lt;=0)),"Completar",ROUND(F25*IF(COUNT(H25)=1,H25,IF(E25="DH",'Parámetros'!B21,'Parámetros'!B22))/IF(G25="ARS",'Parámetros'!B7,1),2))))</x:f>
      </x:c>
      <x:c r="J25" s="60" t="str">
        <x:f>IF(COUNTA(A25:H25)=0,"",IF(COUNTIF('Parámetros'!A11:A14,C25)&lt;&gt;1,"Completar",IF(COUNT(INDEX('Parámetros'!B11:B14,MATCH(C25,'Parámetros'!A11:A14,0)))=0,"Completar",INDEX('Parámetros'!B11:B14,MATCH(C25,'Parámetros'!A11:A14,0)))))</x:f>
      </x:c>
      <x:c r="K25" s="59" t="str">
        <x:f>IF(COUNTA(A25:H25)=0,"",IF(OR(COUNT(I25:J25)&lt;2,J25&lt;0,J25&gt;=1),"Completar",ROUND(I25/(1-J25),2)))</x:f>
      </x:c>
      <x:c r="L25" s="59" t="str">
        <x:f>IF(COUNTA(A25:H25)=0,"",IF(COUNT(K25)=0,"Completar",IF(OR(COUNT('Parámetros'!B7)=0,'Parámetros'!B7&lt;=0),"Falta TC",ROUND(K25*'Parámetros'!B7,2))))</x:f>
      </x:c>
    </x:row>
    <x:row r="26" ht="32" customHeight="1">
      <x:c r="A26" s="48"/>
      <x:c r="B26" s="48"/>
      <x:c r="C26" s="19"/>
      <x:c r="D26" s="46"/>
      <x:c r="E26" s="19"/>
      <x:c r="F26" s="55"/>
      <x:c r="G26" s="51"/>
      <x:c r="H26" s="25"/>
      <x:c r="I26" s="57" t="str">
        <x:f>IF(COUNTA(A26:H26)=0,"",IF(OR(A26="",B26="",D26="",E26="",COUNT(F26)&lt;1,COUNTIF('Parámetros'!A11:A14,C26)&lt;&gt;1,AND(G26&lt;&gt;"USD",G26&lt;&gt;"ARS"),AND(COUNT(H26)=0,NOT(AND(G26="USD",OR(E26="DH",E26="HH"),COUNT(IF(E26="DH",'Parámetros'!B21,'Parámetros'!B22))=1)))),"Completar",IF(AND(G26="ARS",OR(COUNT('Parámetros'!B7)=0,'Parámetros'!B7&lt;=0)),"Completar",ROUND(F26*IF(COUNT(H26)=1,H26,IF(E26="DH",'Parámetros'!B21,'Parámetros'!B22))/IF(G26="ARS",'Parámetros'!B7,1),2))))</x:f>
      </x:c>
      <x:c r="J26" s="58" t="str">
        <x:f>IF(COUNTA(A26:H26)=0,"",IF(COUNTIF('Parámetros'!A11:A14,C26)&lt;&gt;1,"Completar",IF(COUNT(INDEX('Parámetros'!B11:B14,MATCH(C26,'Parámetros'!A11:A14,0)))=0,"Completar",INDEX('Parámetros'!B11:B14,MATCH(C26,'Parámetros'!A11:A14,0)))))</x:f>
      </x:c>
      <x:c r="K26" s="57" t="str">
        <x:f>IF(COUNTA(A26:H26)=0,"",IF(OR(COUNT(I26:J26)&lt;2,J26&lt;0,J26&gt;=1),"Completar",ROUND(I26/(1-J26),2)))</x:f>
      </x:c>
      <x:c r="L26" s="57" t="str">
        <x:f>IF(COUNTA(A26:H26)=0,"",IF(COUNT(K26)=0,"Completar",IF(OR(COUNT('Parámetros'!B7)=0,'Parámetros'!B7&lt;=0),"Falta TC",ROUND(K26*'Parámetros'!B7,2))))</x:f>
      </x:c>
    </x:row>
    <x:row r="27" ht="32" customHeight="1">
      <x:c r="A27" s="49"/>
      <x:c r="B27" s="49"/>
      <x:c r="C27" s="21"/>
      <x:c r="D27" s="47"/>
      <x:c r="E27" s="21"/>
      <x:c r="F27" s="56"/>
      <x:c r="G27" s="52"/>
      <x:c r="H27" s="26"/>
      <x:c r="I27" s="59" t="str">
        <x:f>IF(COUNTA(A27:H27)=0,"",IF(OR(A27="",B27="",D27="",E27="",COUNT(F27)&lt;1,COUNTIF('Parámetros'!A11:A14,C27)&lt;&gt;1,AND(G27&lt;&gt;"USD",G27&lt;&gt;"ARS"),AND(COUNT(H27)=0,NOT(AND(G27="USD",OR(E27="DH",E27="HH"),COUNT(IF(E27="DH",'Parámetros'!B21,'Parámetros'!B22))=1)))),"Completar",IF(AND(G27="ARS",OR(COUNT('Parámetros'!B7)=0,'Parámetros'!B7&lt;=0)),"Completar",ROUND(F27*IF(COUNT(H27)=1,H27,IF(E27="DH",'Parámetros'!B21,'Parámetros'!B22))/IF(G27="ARS",'Parámetros'!B7,1),2))))</x:f>
      </x:c>
      <x:c r="J27" s="60" t="str">
        <x:f>IF(COUNTA(A27:H27)=0,"",IF(COUNTIF('Parámetros'!A11:A14,C27)&lt;&gt;1,"Completar",IF(COUNT(INDEX('Parámetros'!B11:B14,MATCH(C27,'Parámetros'!A11:A14,0)))=0,"Completar",INDEX('Parámetros'!B11:B14,MATCH(C27,'Parámetros'!A11:A14,0)))))</x:f>
      </x:c>
      <x:c r="K27" s="59" t="str">
        <x:f>IF(COUNTA(A27:H27)=0,"",IF(OR(COUNT(I27:J27)&lt;2,J27&lt;0,J27&gt;=1),"Completar",ROUND(I27/(1-J27),2)))</x:f>
      </x:c>
      <x:c r="L27" s="59" t="str">
        <x:f>IF(COUNTA(A27:H27)=0,"",IF(COUNT(K27)=0,"Completar",IF(OR(COUNT('Parámetros'!B7)=0,'Parámetros'!B7&lt;=0),"Falta TC",ROUND(K27*'Parámetros'!B7,2))))</x:f>
      </x:c>
    </x:row>
    <x:row r="28" ht="32" customHeight="1">
      <x:c r="A28" s="48"/>
      <x:c r="B28" s="48"/>
      <x:c r="C28" s="19"/>
      <x:c r="D28" s="46"/>
      <x:c r="E28" s="19"/>
      <x:c r="F28" s="55"/>
      <x:c r="G28" s="51"/>
      <x:c r="H28" s="25"/>
      <x:c r="I28" s="57" t="str">
        <x:f>IF(COUNTA(A28:H28)=0,"",IF(OR(A28="",B28="",D28="",E28="",COUNT(F28)&lt;1,COUNTIF('Parámetros'!A11:A14,C28)&lt;&gt;1,AND(G28&lt;&gt;"USD",G28&lt;&gt;"ARS"),AND(COUNT(H28)=0,NOT(AND(G28="USD",OR(E28="DH",E28="HH"),COUNT(IF(E28="DH",'Parámetros'!B21,'Parámetros'!B22))=1)))),"Completar",IF(AND(G28="ARS",OR(COUNT('Parámetros'!B7)=0,'Parámetros'!B7&lt;=0)),"Completar",ROUND(F28*IF(COUNT(H28)=1,H28,IF(E28="DH",'Parámetros'!B21,'Parámetros'!B22))/IF(G28="ARS",'Parámetros'!B7,1),2))))</x:f>
      </x:c>
      <x:c r="J28" s="58" t="str">
        <x:f>IF(COUNTA(A28:H28)=0,"",IF(COUNTIF('Parámetros'!A11:A14,C28)&lt;&gt;1,"Completar",IF(COUNT(INDEX('Parámetros'!B11:B14,MATCH(C28,'Parámetros'!A11:A14,0)))=0,"Completar",INDEX('Parámetros'!B11:B14,MATCH(C28,'Parámetros'!A11:A14,0)))))</x:f>
      </x:c>
      <x:c r="K28" s="57" t="str">
        <x:f>IF(COUNTA(A28:H28)=0,"",IF(OR(COUNT(I28:J28)&lt;2,J28&lt;0,J28&gt;=1),"Completar",ROUND(I28/(1-J28),2)))</x:f>
      </x:c>
      <x:c r="L28" s="57" t="str">
        <x:f>IF(COUNTA(A28:H28)=0,"",IF(COUNT(K28)=0,"Completar",IF(OR(COUNT('Parámetros'!B7)=0,'Parámetros'!B7&lt;=0),"Falta TC",ROUND(K28*'Parámetros'!B7,2))))</x:f>
      </x:c>
    </x:row>
    <x:row r="29" ht="32" customHeight="1">
      <x:c r="A29" s="49"/>
      <x:c r="B29" s="49"/>
      <x:c r="C29" s="21"/>
      <x:c r="D29" s="47"/>
      <x:c r="E29" s="21"/>
      <x:c r="F29" s="56"/>
      <x:c r="G29" s="52"/>
      <x:c r="H29" s="26"/>
      <x:c r="I29" s="59" t="str">
        <x:f>IF(COUNTA(A29:H29)=0,"",IF(OR(A29="",B29="",D29="",E29="",COUNT(F29)&lt;1,COUNTIF('Parámetros'!A11:A14,C29)&lt;&gt;1,AND(G29&lt;&gt;"USD",G29&lt;&gt;"ARS"),AND(COUNT(H29)=0,NOT(AND(G29="USD",OR(E29="DH",E29="HH"),COUNT(IF(E29="DH",'Parámetros'!B21,'Parámetros'!B22))=1)))),"Completar",IF(AND(G29="ARS",OR(COUNT('Parámetros'!B7)=0,'Parámetros'!B7&lt;=0)),"Completar",ROUND(F29*IF(COUNT(H29)=1,H29,IF(E29="DH",'Parámetros'!B21,'Parámetros'!B22))/IF(G29="ARS",'Parámetros'!B7,1),2))))</x:f>
      </x:c>
      <x:c r="J29" s="60" t="str">
        <x:f>IF(COUNTA(A29:H29)=0,"",IF(COUNTIF('Parámetros'!A11:A14,C29)&lt;&gt;1,"Completar",IF(COUNT(INDEX('Parámetros'!B11:B14,MATCH(C29,'Parámetros'!A11:A14,0)))=0,"Completar",INDEX('Parámetros'!B11:B14,MATCH(C29,'Parámetros'!A11:A14,0)))))</x:f>
      </x:c>
      <x:c r="K29" s="59" t="str">
        <x:f>IF(COUNTA(A29:H29)=0,"",IF(OR(COUNT(I29:J29)&lt;2,J29&lt;0,J29&gt;=1),"Completar",ROUND(I29/(1-J29),2)))</x:f>
      </x:c>
      <x:c r="L29" s="59" t="str">
        <x:f>IF(COUNTA(A29:H29)=0,"",IF(COUNT(K29)=0,"Completar",IF(OR(COUNT('Parámetros'!B7)=0,'Parámetros'!B7&lt;=0),"Falta TC",ROUND(K29*'Parámetros'!B7,2))))</x:f>
      </x:c>
    </x:row>
    <x:row r="30" ht="32" customHeight="1">
      <x:c r="A30" s="48"/>
      <x:c r="B30" s="48"/>
      <x:c r="C30" s="19"/>
      <x:c r="D30" s="46"/>
      <x:c r="E30" s="19"/>
      <x:c r="F30" s="55"/>
      <x:c r="G30" s="51"/>
      <x:c r="H30" s="25"/>
      <x:c r="I30" s="57" t="str">
        <x:f>IF(COUNTA(A30:H30)=0,"",IF(OR(A30="",B30="",D30="",E30="",COUNT(F30)&lt;1,COUNTIF('Parámetros'!A11:A14,C30)&lt;&gt;1,AND(G30&lt;&gt;"USD",G30&lt;&gt;"ARS"),AND(COUNT(H30)=0,NOT(AND(G30="USD",OR(E30="DH",E30="HH"),COUNT(IF(E30="DH",'Parámetros'!B21,'Parámetros'!B22))=1)))),"Completar",IF(AND(G30="ARS",OR(COUNT('Parámetros'!B7)=0,'Parámetros'!B7&lt;=0)),"Completar",ROUND(F30*IF(COUNT(H30)=1,H30,IF(E30="DH",'Parámetros'!B21,'Parámetros'!B22))/IF(G30="ARS",'Parámetros'!B7,1),2))))</x:f>
      </x:c>
      <x:c r="J30" s="58" t="str">
        <x:f>IF(COUNTA(A30:H30)=0,"",IF(COUNTIF('Parámetros'!A11:A14,C30)&lt;&gt;1,"Completar",IF(COUNT(INDEX('Parámetros'!B11:B14,MATCH(C30,'Parámetros'!A11:A14,0)))=0,"Completar",INDEX('Parámetros'!B11:B14,MATCH(C30,'Parámetros'!A11:A14,0)))))</x:f>
      </x:c>
      <x:c r="K30" s="57" t="str">
        <x:f>IF(COUNTA(A30:H30)=0,"",IF(OR(COUNT(I30:J30)&lt;2,J30&lt;0,J30&gt;=1),"Completar",ROUND(I30/(1-J30),2)))</x:f>
      </x:c>
      <x:c r="L30" s="57" t="str">
        <x:f>IF(COUNTA(A30:H30)=0,"",IF(COUNT(K30)=0,"Completar",IF(OR(COUNT('Parámetros'!B7)=0,'Parámetros'!B7&lt;=0),"Falta TC",ROUND(K30*'Parámetros'!B7,2))))</x:f>
      </x:c>
    </x:row>
    <x:row r="31" ht="32" customHeight="1">
      <x:c r="A31" s="49"/>
      <x:c r="B31" s="49"/>
      <x:c r="C31" s="21"/>
      <x:c r="D31" s="47"/>
      <x:c r="E31" s="21"/>
      <x:c r="F31" s="56"/>
      <x:c r="G31" s="52"/>
      <x:c r="H31" s="26"/>
      <x:c r="I31" s="59" t="str">
        <x:f>IF(COUNTA(A31:H31)=0,"",IF(OR(A31="",B31="",D31="",E31="",COUNT(F31)&lt;1,COUNTIF('Parámetros'!A11:A14,C31)&lt;&gt;1,AND(G31&lt;&gt;"USD",G31&lt;&gt;"ARS"),AND(COUNT(H31)=0,NOT(AND(G31="USD",OR(E31="DH",E31="HH"),COUNT(IF(E31="DH",'Parámetros'!B21,'Parámetros'!B22))=1)))),"Completar",IF(AND(G31="ARS",OR(COUNT('Parámetros'!B7)=0,'Parámetros'!B7&lt;=0)),"Completar",ROUND(F31*IF(COUNT(H31)=1,H31,IF(E31="DH",'Parámetros'!B21,'Parámetros'!B22))/IF(G31="ARS",'Parámetros'!B7,1),2))))</x:f>
      </x:c>
      <x:c r="J31" s="60" t="str">
        <x:f>IF(COUNTA(A31:H31)=0,"",IF(COUNTIF('Parámetros'!A11:A14,C31)&lt;&gt;1,"Completar",IF(COUNT(INDEX('Parámetros'!B11:B14,MATCH(C31,'Parámetros'!A11:A14,0)))=0,"Completar",INDEX('Parámetros'!B11:B14,MATCH(C31,'Parámetros'!A11:A14,0)))))</x:f>
      </x:c>
      <x:c r="K31" s="59" t="str">
        <x:f>IF(COUNTA(A31:H31)=0,"",IF(OR(COUNT(I31:J31)&lt;2,J31&lt;0,J31&gt;=1),"Completar",ROUND(I31/(1-J31),2)))</x:f>
      </x:c>
      <x:c r="L31" s="59" t="str">
        <x:f>IF(COUNTA(A31:H31)=0,"",IF(COUNT(K31)=0,"Completar",IF(OR(COUNT('Parámetros'!B7)=0,'Parámetros'!B7&lt;=0),"Falta TC",ROUND(K31*'Parámetros'!B7,2))))</x:f>
      </x:c>
    </x:row>
    <x:row r="32" ht="32" customHeight="1">
      <x:c r="A32" s="48"/>
      <x:c r="B32" s="48"/>
      <x:c r="C32" s="19"/>
      <x:c r="D32" s="46"/>
      <x:c r="E32" s="19"/>
      <x:c r="F32" s="55"/>
      <x:c r="G32" s="51"/>
      <x:c r="H32" s="25"/>
      <x:c r="I32" s="57" t="str">
        <x:f>IF(COUNTA(A32:H32)=0,"",IF(OR(A32="",B32="",D32="",E32="",COUNT(F32)&lt;1,COUNTIF('Parámetros'!A11:A14,C32)&lt;&gt;1,AND(G32&lt;&gt;"USD",G32&lt;&gt;"ARS"),AND(COUNT(H32)=0,NOT(AND(G32="USD",OR(E32="DH",E32="HH"),COUNT(IF(E32="DH",'Parámetros'!B21,'Parámetros'!B22))=1)))),"Completar",IF(AND(G32="ARS",OR(COUNT('Parámetros'!B7)=0,'Parámetros'!B7&lt;=0)),"Completar",ROUND(F32*IF(COUNT(H32)=1,H32,IF(E32="DH",'Parámetros'!B21,'Parámetros'!B22))/IF(G32="ARS",'Parámetros'!B7,1),2))))</x:f>
      </x:c>
      <x:c r="J32" s="58" t="str">
        <x:f>IF(COUNTA(A32:H32)=0,"",IF(COUNTIF('Parámetros'!A11:A14,C32)&lt;&gt;1,"Completar",IF(COUNT(INDEX('Parámetros'!B11:B14,MATCH(C32,'Parámetros'!A11:A14,0)))=0,"Completar",INDEX('Parámetros'!B11:B14,MATCH(C32,'Parámetros'!A11:A14,0)))))</x:f>
      </x:c>
      <x:c r="K32" s="57" t="str">
        <x:f>IF(COUNTA(A32:H32)=0,"",IF(OR(COUNT(I32:J32)&lt;2,J32&lt;0,J32&gt;=1),"Completar",ROUND(I32/(1-J32),2)))</x:f>
      </x:c>
      <x:c r="L32" s="57" t="str">
        <x:f>IF(COUNTA(A32:H32)=0,"",IF(COUNT(K32)=0,"Completar",IF(OR(COUNT('Parámetros'!B7)=0,'Parámetros'!B7&lt;=0),"Falta TC",ROUND(K32*'Parámetros'!B7,2))))</x:f>
      </x:c>
    </x:row>
    <x:row r="33" ht="32" customHeight="1">
      <x:c r="A33" s="49"/>
      <x:c r="B33" s="49"/>
      <x:c r="C33" s="21"/>
      <x:c r="D33" s="47"/>
      <x:c r="E33" s="21"/>
      <x:c r="F33" s="56"/>
      <x:c r="G33" s="52"/>
      <x:c r="H33" s="26"/>
      <x:c r="I33" s="59" t="str">
        <x:f>IF(COUNTA(A33:H33)=0,"",IF(OR(A33="",B33="",D33="",E33="",COUNT(F33)&lt;1,COUNTIF('Parámetros'!A11:A14,C33)&lt;&gt;1,AND(G33&lt;&gt;"USD",G33&lt;&gt;"ARS"),AND(COUNT(H33)=0,NOT(AND(G33="USD",OR(E33="DH",E33="HH"),COUNT(IF(E33="DH",'Parámetros'!B21,'Parámetros'!B22))=1)))),"Completar",IF(AND(G33="ARS",OR(COUNT('Parámetros'!B7)=0,'Parámetros'!B7&lt;=0)),"Completar",ROUND(F33*IF(COUNT(H33)=1,H33,IF(E33="DH",'Parámetros'!B21,'Parámetros'!B22))/IF(G33="ARS",'Parámetros'!B7,1),2))))</x:f>
      </x:c>
      <x:c r="J33" s="60" t="str">
        <x:f>IF(COUNTA(A33:H33)=0,"",IF(COUNTIF('Parámetros'!A11:A14,C33)&lt;&gt;1,"Completar",IF(COUNT(INDEX('Parámetros'!B11:B14,MATCH(C33,'Parámetros'!A11:A14,0)))=0,"Completar",INDEX('Parámetros'!B11:B14,MATCH(C33,'Parámetros'!A11:A14,0)))))</x:f>
      </x:c>
      <x:c r="K33" s="59" t="str">
        <x:f>IF(COUNTA(A33:H33)=0,"",IF(OR(COUNT(I33:J33)&lt;2,J33&lt;0,J33&gt;=1),"Completar",ROUND(I33/(1-J33),2)))</x:f>
      </x:c>
      <x:c r="L33" s="59" t="str">
        <x:f>IF(COUNTA(A33:H33)=0,"",IF(COUNT(K33)=0,"Completar",IF(OR(COUNT('Parámetros'!B7)=0,'Parámetros'!B7&lt;=0),"Falta TC",ROUND(K33*'Parámetros'!B7,2))))</x:f>
      </x:c>
    </x:row>
    <x:row r="34" ht="32" customHeight="1">
      <x:c r="A34" s="48"/>
      <x:c r="B34" s="48"/>
      <x:c r="C34" s="19"/>
      <x:c r="D34" s="46"/>
      <x:c r="E34" s="19"/>
      <x:c r="F34" s="55"/>
      <x:c r="G34" s="51"/>
      <x:c r="H34" s="25"/>
      <x:c r="I34" s="57" t="str">
        <x:f>IF(COUNTA(A34:H34)=0,"",IF(OR(A34="",B34="",D34="",E34="",COUNT(F34)&lt;1,COUNTIF('Parámetros'!A11:A14,C34)&lt;&gt;1,AND(G34&lt;&gt;"USD",G34&lt;&gt;"ARS"),AND(COUNT(H34)=0,NOT(AND(G34="USD",OR(E34="DH",E34="HH"),COUNT(IF(E34="DH",'Parámetros'!B21,'Parámetros'!B22))=1)))),"Completar",IF(AND(G34="ARS",OR(COUNT('Parámetros'!B7)=0,'Parámetros'!B7&lt;=0)),"Completar",ROUND(F34*IF(COUNT(H34)=1,H34,IF(E34="DH",'Parámetros'!B21,'Parámetros'!B22))/IF(G34="ARS",'Parámetros'!B7,1),2))))</x:f>
      </x:c>
      <x:c r="J34" s="58" t="str">
        <x:f>IF(COUNTA(A34:H34)=0,"",IF(COUNTIF('Parámetros'!A11:A14,C34)&lt;&gt;1,"Completar",IF(COUNT(INDEX('Parámetros'!B11:B14,MATCH(C34,'Parámetros'!A11:A14,0)))=0,"Completar",INDEX('Parámetros'!B11:B14,MATCH(C34,'Parámetros'!A11:A14,0)))))</x:f>
      </x:c>
      <x:c r="K34" s="57" t="str">
        <x:f>IF(COUNTA(A34:H34)=0,"",IF(OR(COUNT(I34:J34)&lt;2,J34&lt;0,J34&gt;=1),"Completar",ROUND(I34/(1-J34),2)))</x:f>
      </x:c>
      <x:c r="L34" s="57" t="str">
        <x:f>IF(COUNTA(A34:H34)=0,"",IF(COUNT(K34)=0,"Completar",IF(OR(COUNT('Parámetros'!B7)=0,'Parámetros'!B7&lt;=0),"Falta TC",ROUND(K34*'Parámetros'!B7,2))))</x:f>
      </x:c>
    </x:row>
    <x:row r="35" ht="32" customHeight="1">
      <x:c r="A35" s="49"/>
      <x:c r="B35" s="49"/>
      <x:c r="C35" s="21"/>
      <x:c r="D35" s="47"/>
      <x:c r="E35" s="21"/>
      <x:c r="F35" s="56"/>
      <x:c r="G35" s="52"/>
      <x:c r="H35" s="26"/>
      <x:c r="I35" s="59" t="str">
        <x:f>IF(COUNTA(A35:H35)=0,"",IF(OR(A35="",B35="",D35="",E35="",COUNT(F35)&lt;1,COUNTIF('Parámetros'!A11:A14,C35)&lt;&gt;1,AND(G35&lt;&gt;"USD",G35&lt;&gt;"ARS"),AND(COUNT(H35)=0,NOT(AND(G35="USD",OR(E35="DH",E35="HH"),COUNT(IF(E35="DH",'Parámetros'!B21,'Parámetros'!B22))=1)))),"Completar",IF(AND(G35="ARS",OR(COUNT('Parámetros'!B7)=0,'Parámetros'!B7&lt;=0)),"Completar",ROUND(F35*IF(COUNT(H35)=1,H35,IF(E35="DH",'Parámetros'!B21,'Parámetros'!B22))/IF(G35="ARS",'Parámetros'!B7,1),2))))</x:f>
      </x:c>
      <x:c r="J35" s="60" t="str">
        <x:f>IF(COUNTA(A35:H35)=0,"",IF(COUNTIF('Parámetros'!A11:A14,C35)&lt;&gt;1,"Completar",IF(COUNT(INDEX('Parámetros'!B11:B14,MATCH(C35,'Parámetros'!A11:A14,0)))=0,"Completar",INDEX('Parámetros'!B11:B14,MATCH(C35,'Parámetros'!A11:A14,0)))))</x:f>
      </x:c>
      <x:c r="K35" s="59" t="str">
        <x:f>IF(COUNTA(A35:H35)=0,"",IF(OR(COUNT(I35:J35)&lt;2,J35&lt;0,J35&gt;=1),"Completar",ROUND(I35/(1-J35),2)))</x:f>
      </x:c>
      <x:c r="L35" s="59" t="str">
        <x:f>IF(COUNTA(A35:H35)=0,"",IF(COUNT(K35)=0,"Completar",IF(OR(COUNT('Parámetros'!B7)=0,'Parámetros'!B7&lt;=0),"Falta TC",ROUND(K35*'Parámetros'!B7,2))))</x:f>
      </x:c>
    </x:row>
    <x:row r="36" ht="32" customHeight="1">
      <x:c r="A36" s="48"/>
      <x:c r="B36" s="48"/>
      <x:c r="C36" s="19"/>
      <x:c r="D36" s="46"/>
      <x:c r="E36" s="19"/>
      <x:c r="F36" s="55"/>
      <x:c r="G36" s="51"/>
      <x:c r="H36" s="25"/>
      <x:c r="I36" s="57" t="str">
        <x:f>IF(COUNTA(A36:H36)=0,"",IF(OR(A36="",B36="",D36="",E36="",COUNT(F36)&lt;1,COUNTIF('Parámetros'!A11:A14,C36)&lt;&gt;1,AND(G36&lt;&gt;"USD",G36&lt;&gt;"ARS"),AND(COUNT(H36)=0,NOT(AND(G36="USD",OR(E36="DH",E36="HH"),COUNT(IF(E36="DH",'Parámetros'!B21,'Parámetros'!B22))=1)))),"Completar",IF(AND(G36="ARS",OR(COUNT('Parámetros'!B7)=0,'Parámetros'!B7&lt;=0)),"Completar",ROUND(F36*IF(COUNT(H36)=1,H36,IF(E36="DH",'Parámetros'!B21,'Parámetros'!B22))/IF(G36="ARS",'Parámetros'!B7,1),2))))</x:f>
      </x:c>
      <x:c r="J36" s="58" t="str">
        <x:f>IF(COUNTA(A36:H36)=0,"",IF(COUNTIF('Parámetros'!A11:A14,C36)&lt;&gt;1,"Completar",IF(COUNT(INDEX('Parámetros'!B11:B14,MATCH(C36,'Parámetros'!A11:A14,0)))=0,"Completar",INDEX('Parámetros'!B11:B14,MATCH(C36,'Parámetros'!A11:A14,0)))))</x:f>
      </x:c>
      <x:c r="K36" s="57" t="str">
        <x:f>IF(COUNTA(A36:H36)=0,"",IF(OR(COUNT(I36:J36)&lt;2,J36&lt;0,J36&gt;=1),"Completar",ROUND(I36/(1-J36),2)))</x:f>
      </x:c>
      <x:c r="L36" s="57" t="str">
        <x:f>IF(COUNTA(A36:H36)=0,"",IF(COUNT(K36)=0,"Completar",IF(OR(COUNT('Parámetros'!B7)=0,'Parámetros'!B7&lt;=0),"Falta TC",ROUND(K36*'Parámetros'!B7,2))))</x:f>
      </x:c>
    </x:row>
    <x:row r="37" ht="32" customHeight="1">
      <x:c r="A37" s="49"/>
      <x:c r="B37" s="49"/>
      <x:c r="C37" s="21"/>
      <x:c r="D37" s="47"/>
      <x:c r="E37" s="21"/>
      <x:c r="F37" s="56"/>
      <x:c r="G37" s="52"/>
      <x:c r="H37" s="26"/>
      <x:c r="I37" s="59" t="str">
        <x:f>IF(COUNTA(A37:H37)=0,"",IF(OR(A37="",B37="",D37="",E37="",COUNT(F37)&lt;1,COUNTIF('Parámetros'!A11:A14,C37)&lt;&gt;1,AND(G37&lt;&gt;"USD",G37&lt;&gt;"ARS"),AND(COUNT(H37)=0,NOT(AND(G37="USD",OR(E37="DH",E37="HH"),COUNT(IF(E37="DH",'Parámetros'!B21,'Parámetros'!B22))=1)))),"Completar",IF(AND(G37="ARS",OR(COUNT('Parámetros'!B7)=0,'Parámetros'!B7&lt;=0)),"Completar",ROUND(F37*IF(COUNT(H37)=1,H37,IF(E37="DH",'Parámetros'!B21,'Parámetros'!B22))/IF(G37="ARS",'Parámetros'!B7,1),2))))</x:f>
      </x:c>
      <x:c r="J37" s="60" t="str">
        <x:f>IF(COUNTA(A37:H37)=0,"",IF(COUNTIF('Parámetros'!A11:A14,C37)&lt;&gt;1,"Completar",IF(COUNT(INDEX('Parámetros'!B11:B14,MATCH(C37,'Parámetros'!A11:A14,0)))=0,"Completar",INDEX('Parámetros'!B11:B14,MATCH(C37,'Parámetros'!A11:A14,0)))))</x:f>
      </x:c>
      <x:c r="K37" s="59" t="str">
        <x:f>IF(COUNTA(A37:H37)=0,"",IF(OR(COUNT(I37:J37)&lt;2,J37&lt;0,J37&gt;=1),"Completar",ROUND(I37/(1-J37),2)))</x:f>
      </x:c>
      <x:c r="L37" s="59" t="str">
        <x:f>IF(COUNTA(A37:H37)=0,"",IF(COUNT(K37)=0,"Completar",IF(OR(COUNT('Parámetros'!B7)=0,'Parámetros'!B7&lt;=0),"Falta TC",ROUND(K37*'Parámetros'!B7,2))))</x:f>
      </x:c>
    </x:row>
    <x:row r="38" ht="32" customHeight="1">
      <x:c r="A38" s="48"/>
      <x:c r="B38" s="48"/>
      <x:c r="C38" s="19"/>
      <x:c r="D38" s="46"/>
      <x:c r="E38" s="19"/>
      <x:c r="F38" s="55"/>
      <x:c r="G38" s="51"/>
      <x:c r="H38" s="25"/>
      <x:c r="I38" s="57" t="str">
        <x:f>IF(COUNTA(A38:H38)=0,"",IF(OR(A38="",B38="",D38="",E38="",COUNT(F38)&lt;1,COUNTIF('Parámetros'!A11:A14,C38)&lt;&gt;1,AND(G38&lt;&gt;"USD",G38&lt;&gt;"ARS"),AND(COUNT(H38)=0,NOT(AND(G38="USD",OR(E38="DH",E38="HH"),COUNT(IF(E38="DH",'Parámetros'!B21,'Parámetros'!B22))=1)))),"Completar",IF(AND(G38="ARS",OR(COUNT('Parámetros'!B7)=0,'Parámetros'!B7&lt;=0)),"Completar",ROUND(F38*IF(COUNT(H38)=1,H38,IF(E38="DH",'Parámetros'!B21,'Parámetros'!B22))/IF(G38="ARS",'Parámetros'!B7,1),2))))</x:f>
      </x:c>
      <x:c r="J38" s="58" t="str">
        <x:f>IF(COUNTA(A38:H38)=0,"",IF(COUNTIF('Parámetros'!A11:A14,C38)&lt;&gt;1,"Completar",IF(COUNT(INDEX('Parámetros'!B11:B14,MATCH(C38,'Parámetros'!A11:A14,0)))=0,"Completar",INDEX('Parámetros'!B11:B14,MATCH(C38,'Parámetros'!A11:A14,0)))))</x:f>
      </x:c>
      <x:c r="K38" s="57" t="str">
        <x:f>IF(COUNTA(A38:H38)=0,"",IF(OR(COUNT(I38:J38)&lt;2,J38&lt;0,J38&gt;=1),"Completar",ROUND(I38/(1-J38),2)))</x:f>
      </x:c>
      <x:c r="L38" s="57" t="str">
        <x:f>IF(COUNTA(A38:H38)=0,"",IF(COUNT(K38)=0,"Completar",IF(OR(COUNT('Parámetros'!B7)=0,'Parámetros'!B7&lt;=0),"Falta TC",ROUND(K38*'Parámetros'!B7,2))))</x:f>
      </x:c>
    </x:row>
    <x:row r="39" ht="32" customHeight="1">
      <x:c r="A39" s="49"/>
      <x:c r="B39" s="49"/>
      <x:c r="C39" s="21"/>
      <x:c r="D39" s="47"/>
      <x:c r="E39" s="21"/>
      <x:c r="F39" s="56"/>
      <x:c r="G39" s="52"/>
      <x:c r="H39" s="26"/>
      <x:c r="I39" s="59" t="str">
        <x:f>IF(COUNTA(A39:H39)=0,"",IF(OR(A39="",B39="",D39="",E39="",COUNT(F39)&lt;1,COUNTIF('Parámetros'!A11:A14,C39)&lt;&gt;1,AND(G39&lt;&gt;"USD",G39&lt;&gt;"ARS"),AND(COUNT(H39)=0,NOT(AND(G39="USD",OR(E39="DH",E39="HH"),COUNT(IF(E39="DH",'Parámetros'!B21,'Parámetros'!B22))=1)))),"Completar",IF(AND(G39="ARS",OR(COUNT('Parámetros'!B7)=0,'Parámetros'!B7&lt;=0)),"Completar",ROUND(F39*IF(COUNT(H39)=1,H39,IF(E39="DH",'Parámetros'!B21,'Parámetros'!B22))/IF(G39="ARS",'Parámetros'!B7,1),2))))</x:f>
      </x:c>
      <x:c r="J39" s="60" t="str">
        <x:f>IF(COUNTA(A39:H39)=0,"",IF(COUNTIF('Parámetros'!A11:A14,C39)&lt;&gt;1,"Completar",IF(COUNT(INDEX('Parámetros'!B11:B14,MATCH(C39,'Parámetros'!A11:A14,0)))=0,"Completar",INDEX('Parámetros'!B11:B14,MATCH(C39,'Parámetros'!A11:A14,0)))))</x:f>
      </x:c>
      <x:c r="K39" s="59" t="str">
        <x:f>IF(COUNTA(A39:H39)=0,"",IF(OR(COUNT(I39:J39)&lt;2,J39&lt;0,J39&gt;=1),"Completar",ROUND(I39/(1-J39),2)))</x:f>
      </x:c>
      <x:c r="L39" s="59" t="str">
        <x:f>IF(COUNTA(A39:H39)=0,"",IF(COUNT(K39)=0,"Completar",IF(OR(COUNT('Parámetros'!B7)=0,'Parámetros'!B7&lt;=0),"Falta TC",ROUND(K39*'Parámetros'!B7,2))))</x:f>
      </x:c>
    </x:row>
    <x:row r="40" ht="32" customHeight="1">
      <x:c r="A40" s="48"/>
      <x:c r="B40" s="48"/>
      <x:c r="C40" s="19"/>
      <x:c r="D40" s="46"/>
      <x:c r="E40" s="19"/>
      <x:c r="F40" s="55"/>
      <x:c r="G40" s="51"/>
      <x:c r="H40" s="25"/>
      <x:c r="I40" s="57" t="str">
        <x:f>IF(COUNTA(A40:H40)=0,"",IF(OR(A40="",B40="",D40="",E40="",COUNT(F40)&lt;1,COUNTIF('Parámetros'!A11:A14,C40)&lt;&gt;1,AND(G40&lt;&gt;"USD",G40&lt;&gt;"ARS"),AND(COUNT(H40)=0,NOT(AND(G40="USD",OR(E40="DH",E40="HH"),COUNT(IF(E40="DH",'Parámetros'!B21,'Parámetros'!B22))=1)))),"Completar",IF(AND(G40="ARS",OR(COUNT('Parámetros'!B7)=0,'Parámetros'!B7&lt;=0)),"Completar",ROUND(F40*IF(COUNT(H40)=1,H40,IF(E40="DH",'Parámetros'!B21,'Parámetros'!B22))/IF(G40="ARS",'Parámetros'!B7,1),2))))</x:f>
      </x:c>
      <x:c r="J40" s="58" t="str">
        <x:f>IF(COUNTA(A40:H40)=0,"",IF(COUNTIF('Parámetros'!A11:A14,C40)&lt;&gt;1,"Completar",IF(COUNT(INDEX('Parámetros'!B11:B14,MATCH(C40,'Parámetros'!A11:A14,0)))=0,"Completar",INDEX('Parámetros'!B11:B14,MATCH(C40,'Parámetros'!A11:A14,0)))))</x:f>
      </x:c>
      <x:c r="K40" s="57" t="str">
        <x:f>IF(COUNTA(A40:H40)=0,"",IF(OR(COUNT(I40:J40)&lt;2,J40&lt;0,J40&gt;=1),"Completar",ROUND(I40/(1-J40),2)))</x:f>
      </x:c>
      <x:c r="L40" s="57" t="str">
        <x:f>IF(COUNTA(A40:H40)=0,"",IF(COUNT(K40)=0,"Completar",IF(OR(COUNT('Parámetros'!B7)=0,'Parámetros'!B7&lt;=0),"Falta TC",ROUND(K40*'Parámetros'!B7,2))))</x:f>
      </x:c>
    </x:row>
    <x:row r="41" ht="32" customHeight="1">
      <x:c r="A41" s="49"/>
      <x:c r="B41" s="49"/>
      <x:c r="C41" s="21"/>
      <x:c r="D41" s="47"/>
      <x:c r="E41" s="21"/>
      <x:c r="F41" s="56"/>
      <x:c r="G41" s="52"/>
      <x:c r="H41" s="26"/>
      <x:c r="I41" s="59" t="str">
        <x:f>IF(COUNTA(A41:H41)=0,"",IF(OR(A41="",B41="",D41="",E41="",COUNT(F41)&lt;1,COUNTIF('Parámetros'!A11:A14,C41)&lt;&gt;1,AND(G41&lt;&gt;"USD",G41&lt;&gt;"ARS"),AND(COUNT(H41)=0,NOT(AND(G41="USD",OR(E41="DH",E41="HH"),COUNT(IF(E41="DH",'Parámetros'!B21,'Parámetros'!B22))=1)))),"Completar",IF(AND(G41="ARS",OR(COUNT('Parámetros'!B7)=0,'Parámetros'!B7&lt;=0)),"Completar",ROUND(F41*IF(COUNT(H41)=1,H41,IF(E41="DH",'Parámetros'!B21,'Parámetros'!B22))/IF(G41="ARS",'Parámetros'!B7,1),2))))</x:f>
      </x:c>
      <x:c r="J41" s="60" t="str">
        <x:f>IF(COUNTA(A41:H41)=0,"",IF(COUNTIF('Parámetros'!A11:A14,C41)&lt;&gt;1,"Completar",IF(COUNT(INDEX('Parámetros'!B11:B14,MATCH(C41,'Parámetros'!A11:A14,0)))=0,"Completar",INDEX('Parámetros'!B11:B14,MATCH(C41,'Parámetros'!A11:A14,0)))))</x:f>
      </x:c>
      <x:c r="K41" s="59" t="str">
        <x:f>IF(COUNTA(A41:H41)=0,"",IF(OR(COUNT(I41:J41)&lt;2,J41&lt;0,J41&gt;=1),"Completar",ROUND(I41/(1-J41),2)))</x:f>
      </x:c>
      <x:c r="L41" s="59" t="str">
        <x:f>IF(COUNTA(A41:H41)=0,"",IF(COUNT(K41)=0,"Completar",IF(OR(COUNT('Parámetros'!B7)=0,'Parámetros'!B7&lt;=0),"Falta TC",ROUND(K41*'Parámetros'!B7,2))))</x:f>
      </x:c>
    </x:row>
    <x:row r="42" ht="32" customHeight="1">
      <x:c r="A42" s="48"/>
      <x:c r="B42" s="48"/>
      <x:c r="C42" s="19"/>
      <x:c r="D42" s="46"/>
      <x:c r="E42" s="19"/>
      <x:c r="F42" s="55"/>
      <x:c r="G42" s="51"/>
      <x:c r="H42" s="25"/>
      <x:c r="I42" s="57" t="str">
        <x:f>IF(COUNTA(A42:H42)=0,"",IF(OR(A42="",B42="",D42="",E42="",COUNT(F42)&lt;1,COUNTIF('Parámetros'!A11:A14,C42)&lt;&gt;1,AND(G42&lt;&gt;"USD",G42&lt;&gt;"ARS"),AND(COUNT(H42)=0,NOT(AND(G42="USD",OR(E42="DH",E42="HH"),COUNT(IF(E42="DH",'Parámetros'!B21,'Parámetros'!B22))=1)))),"Completar",IF(AND(G42="ARS",OR(COUNT('Parámetros'!B7)=0,'Parámetros'!B7&lt;=0)),"Completar",ROUND(F42*IF(COUNT(H42)=1,H42,IF(E42="DH",'Parámetros'!B21,'Parámetros'!B22))/IF(G42="ARS",'Parámetros'!B7,1),2))))</x:f>
      </x:c>
      <x:c r="J42" s="58" t="str">
        <x:f>IF(COUNTA(A42:H42)=0,"",IF(COUNTIF('Parámetros'!A11:A14,C42)&lt;&gt;1,"Completar",IF(COUNT(INDEX('Parámetros'!B11:B14,MATCH(C42,'Parámetros'!A11:A14,0)))=0,"Completar",INDEX('Parámetros'!B11:B14,MATCH(C42,'Parámetros'!A11:A14,0)))))</x:f>
      </x:c>
      <x:c r="K42" s="57" t="str">
        <x:f>IF(COUNTA(A42:H42)=0,"",IF(OR(COUNT(I42:J42)&lt;2,J42&lt;0,J42&gt;=1),"Completar",ROUND(I42/(1-J42),2)))</x:f>
      </x:c>
      <x:c r="L42" s="57" t="str">
        <x:f>IF(COUNTA(A42:H42)=0,"",IF(COUNT(K42)=0,"Completar",IF(OR(COUNT('Parámetros'!B7)=0,'Parámetros'!B7&lt;=0),"Falta TC",ROUND(K42*'Parámetros'!B7,2))))</x:f>
      </x:c>
    </x:row>
    <x:row r="43" ht="32" customHeight="1">
      <x:c r="A43" s="49"/>
      <x:c r="B43" s="49"/>
      <x:c r="C43" s="21"/>
      <x:c r="D43" s="47"/>
      <x:c r="E43" s="21"/>
      <x:c r="F43" s="56"/>
      <x:c r="G43" s="52"/>
      <x:c r="H43" s="26"/>
      <x:c r="I43" s="59" t="str">
        <x:f>IF(COUNTA(A43:H43)=0,"",IF(OR(A43="",B43="",D43="",E43="",COUNT(F43)&lt;1,COUNTIF('Parámetros'!A11:A14,C43)&lt;&gt;1,AND(G43&lt;&gt;"USD",G43&lt;&gt;"ARS"),AND(COUNT(H43)=0,NOT(AND(G43="USD",OR(E43="DH",E43="HH"),COUNT(IF(E43="DH",'Parámetros'!B21,'Parámetros'!B22))=1)))),"Completar",IF(AND(G43="ARS",OR(COUNT('Parámetros'!B7)=0,'Parámetros'!B7&lt;=0)),"Completar",ROUND(F43*IF(COUNT(H43)=1,H43,IF(E43="DH",'Parámetros'!B21,'Parámetros'!B22))/IF(G43="ARS",'Parámetros'!B7,1),2))))</x:f>
      </x:c>
      <x:c r="J43" s="60" t="str">
        <x:f>IF(COUNTA(A43:H43)=0,"",IF(COUNTIF('Parámetros'!A11:A14,C43)&lt;&gt;1,"Completar",IF(COUNT(INDEX('Parámetros'!B11:B14,MATCH(C43,'Parámetros'!A11:A14,0)))=0,"Completar",INDEX('Parámetros'!B11:B14,MATCH(C43,'Parámetros'!A11:A14,0)))))</x:f>
      </x:c>
      <x:c r="K43" s="59" t="str">
        <x:f>IF(COUNTA(A43:H43)=0,"",IF(OR(COUNT(I43:J43)&lt;2,J43&lt;0,J43&gt;=1),"Completar",ROUND(I43/(1-J43),2)))</x:f>
      </x:c>
      <x:c r="L43" s="59" t="str">
        <x:f>IF(COUNTA(A43:H43)=0,"",IF(COUNT(K43)=0,"Completar",IF(OR(COUNT('Parámetros'!B7)=0,'Parámetros'!B7&lt;=0),"Falta TC",ROUND(K43*'Parámetros'!B7,2))))</x:f>
      </x:c>
    </x:row>
    <x:row r="44" ht="27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7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7" customHeight="1">
      <x:c r="A46" s="34" t="str">
        <x:v>El resultado suma todos los frentes de trabajo. Para ampliar a más de 30 componentes, insertar filas dentro del bloque y extender las fórmulas y los rangos de Resultado.</x:v>
      </x:c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</x:row>
    <x:row r="47" ht="27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</x:row>
    <x:row r="48" ht="27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</x:row>
  </x:sheetData>
  <x:mergeCells>
    <x:mergeCell ref="A5:L5"/>
    <x:mergeCell ref="A7:L8"/>
    <x:mergeCell ref="A10:L11"/>
    <x:mergeCell ref="A46:L48"/>
  </x:mergeCells>
  <x:conditionalFormatting sqref="I14:L43">
    <x:cfRule type="containsText" dxfId="0" priority="1" operator="containsText" text="Completar"/>
  </x:conditionalFormatting>
  <x:dataValidations count="4">
    <x:dataValidation type="list" sqref="C14:C43" allowBlank="1" showErrorMessage="1" errorStyle="stop" errorTitle="Revisar el valor" error="Ingresar un valor dentro del rango permitido.">
      <x:formula1>"Materiales,Servicios directos,Tercerizados,Logística"</x:formula1>
    </x:dataValidation>
    <x:dataValidation type="list" sqref="G14:G43" allowBlank="1" showErrorMessage="1" errorStyle="stop" errorTitle="Revisar el valor" error="Ingresar un valor dentro del rango permitido.">
      <x:formula1>"USD,ARS"</x:formula1>
    </x:dataValidation>
    <x:dataValidation type="decimal" operator="greaterThanOrEqual" sqref="F14:F43" allowBlank="1" showErrorMessage="1" errorStyle="stop" errorTitle="Revisar el valor" error="Ingresar un valor dentro del rango permitido.">
      <x:formula1>0</x:formula1>
    </x:dataValidation>
    <x:dataValidation type="decimal" operator="greaterThanOrEqual" sqref="H14:H43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8" orientation="landscape" fitToWidth="1" fitToHeight="0"/>
  <x:headerFooter>
    <x:oddFooter>&amp;L&amp;"UM Sans 2,Regular"&amp;9ULTIMA MILLA S.A. · Uso interno&amp;R&amp;P / &amp;N</x:oddFooter>
  </x:headerFooter>
  <x:drawing xmlns:r="http://schemas.openxmlformats.org/officeDocument/2006/relationships" r:id="R889d4dc338f54747"/>
</x:worksheet>
</file>

<file path=xl/worksheets/sheet3.xml><?xml version="1.0" encoding="utf-8"?>
<x:worksheet xmlns:x="http://schemas.openxmlformats.org/spreadsheetml/2006/main">
  <x:sheetPr>
    <x:tabColor rgb="FF666666"/>
    <x:pageSetUpPr fitToPage="1"/>
  </x:sheetPr>
  <x:sheetViews>
    <x:sheetView showGridLines="0" workbookViewId="0"/>
  </x:sheetViews>
  <x:sheetFormatPr defaultRowHeight="15"/>
  <x:cols>
    <x:col min="1" max="1" width="35.560001373291016" hidden="0" customWidth="1"/>
    <x:col min="2" max="2" width="17.219999313354492" hidden="0" customWidth="1"/>
    <x:col min="3" max="3" width="2.7799999713897705" hidden="0" customWidth="1"/>
    <x:col min="4" max="4" width="23.329999923706055" hidden="0" customWidth="1"/>
    <x:col min="5" max="5" width="12.220000267028809" hidden="0" customWidth="1"/>
    <x:col min="6" max="6" width="11.670000076293945" hidden="0" customWidth="1"/>
  </x:cols>
  <x:sheetData>
    <x:row r="1" ht="9" customHeight="1">
      <x:c r="A1" s="3"/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8" customHeight="1">
      <x:c r="A3" s="4"/>
      <x:c r="B3" s="4"/>
      <x:c r="C3" s="4"/>
      <x:c r="D3" s="4"/>
      <x:c r="E3" s="4"/>
      <x:c r="F3" s="4"/>
    </x:row>
    <x:row r="4" ht="8" customHeight="1">
      <x:c r="A4" s="3"/>
      <x:c r="B4" s="3"/>
      <x:c r="C4" s="3"/>
      <x:c r="D4" s="3"/>
      <x:c r="E4" s="3"/>
      <x:c r="F4" s="3"/>
    </x:row>
    <x:row r="5" ht="34" customHeight="1">
      <x:c r="A5" s="5" t="str">
        <x:v>Parámetros del presupuesto</x:v>
      </x:c>
      <x:c r="B5" s="5"/>
      <x:c r="C5" s="5"/>
      <x:c r="D5" s="5"/>
      <x:c r="E5" s="5"/>
      <x:c r="F5" s="5"/>
    </x:row>
    <x:row r="6" ht="6" customHeight="1">
      <x:c r="A6" s="3"/>
      <x:c r="B6" s="3"/>
      <x:c r="C6" s="3"/>
      <x:c r="D6" s="3"/>
      <x:c r="E6" s="3"/>
      <x:c r="F6" s="3"/>
    </x:row>
    <x:row r="7" ht="27" customHeight="1">
      <x:c r="A7" s="3" t="str">
        <x:v>Tipo de cambio ARS / USD</x:v>
      </x:c>
      <x:c r="B7" s="41"/>
      <x:c r="C7" s="3"/>
      <x:c r="D7" s="34" t="str">
        <x:v>Ingresar la cotización y su fecha. Los costos en ARS se convierten a USD con ese valor.</x:v>
      </x:c>
      <x:c r="E7" s="34"/>
      <x:c r="F7" s="34"/>
    </x:row>
    <x:row r="8" ht="27" customHeight="1">
      <x:c r="A8" s="3" t="str">
        <x:v>Fecha del tipo de cambio</x:v>
      </x:c>
      <x:c r="B8" s="38"/>
      <x:c r="C8" s="3"/>
      <x:c r="D8" s="34"/>
      <x:c r="E8" s="34"/>
      <x:c r="F8" s="34"/>
    </x:row>
    <x:row r="9" ht="6" customHeight="1">
      <x:c r="A9" s="3"/>
      <x:c r="B9" s="3"/>
      <x:c r="C9" s="3"/>
      <x:c r="D9" s="34"/>
      <x:c r="E9" s="34"/>
      <x:c r="F9" s="34"/>
    </x:row>
    <x:row r="10" ht="27" customHeight="1">
      <x:c r="A10" s="43" t="str">
        <x:v>Márgenes sobre venta</x:v>
      </x:c>
      <x:c r="B10" s="43"/>
      <x:c r="C10" s="3"/>
      <x:c r="D10" s="3"/>
      <x:c r="E10" s="3"/>
      <x:c r="F10" s="3"/>
    </x:row>
    <x:row r="11" ht="27" customHeight="1">
      <x:c r="A11" s="3" t="str">
        <x:v>Materiales</x:v>
      </x:c>
      <x:c r="B11" s="39"/>
      <x:c r="C11" s="3"/>
      <x:c r="D11" s="34" t="str">
        <x:v>Ingresar un margen entre 0 % y menos de 100 %. No es un recargo sobre el costo. Sólo se exige el margen del tipo de costo usado.</x:v>
      </x:c>
      <x:c r="E11" s="34"/>
      <x:c r="F11" s="34"/>
    </x:row>
    <x:row r="12" ht="27" customHeight="1">
      <x:c r="A12" s="3" t="str">
        <x:v>Servicios directos</x:v>
      </x:c>
      <x:c r="B12" s="39"/>
      <x:c r="C12" s="3"/>
      <x:c r="D12" s="34"/>
      <x:c r="E12" s="34"/>
      <x:c r="F12" s="34"/>
    </x:row>
    <x:row r="13" ht="27" customHeight="1">
      <x:c r="A13" s="3" t="str">
        <x:v>Tercerizados</x:v>
      </x:c>
      <x:c r="B13" s="39"/>
      <x:c r="C13" s="3"/>
      <x:c r="D13" s="34"/>
      <x:c r="E13" s="34"/>
      <x:c r="F13" s="34"/>
    </x:row>
    <x:row r="14" ht="27" customHeight="1">
      <x:c r="A14" s="3" t="str">
        <x:v>Logística</x:v>
      </x:c>
      <x:c r="B14" s="39"/>
      <x:c r="C14" s="3"/>
      <x:c r="D14" s="34"/>
      <x:c r="E14" s="34"/>
      <x:c r="F14" s="34"/>
    </x:row>
    <x:row r="15" ht="27" customHeight="1">
      <x:c r="A15" s="43" t="str">
        <x:v>Ajustes de la oferta</x:v>
      </x:c>
      <x:c r="B15" s="45"/>
      <x:c r="C15" s="3"/>
      <x:c r="D15" s="3"/>
      <x:c r="E15" s="3"/>
      <x:c r="F15" s="3"/>
    </x:row>
    <x:row r="16" ht="27" customHeight="1">
      <x:c r="A16" s="3" t="str">
        <x:v>Imprevistos</x:v>
      </x:c>
      <x:c r="B16" s="39"/>
      <x:c r="C16" s="3"/>
      <x:c r="D16" s="34" t="str">
        <x:v>Completar los tres ajustes; ingresar 0 si no corresponde. Verificar el tratamiento de IVA de cada licitación.</x:v>
      </x:c>
      <x:c r="E16" s="34"/>
      <x:c r="F16" s="34"/>
    </x:row>
    <x:row r="17" ht="27" customHeight="1">
      <x:c r="A17" s="3" t="str">
        <x:v>Bonificación</x:v>
      </x:c>
      <x:c r="B17" s="39"/>
      <x:c r="C17" s="3"/>
      <x:c r="D17" s="34"/>
      <x:c r="E17" s="34"/>
      <x:c r="F17" s="34"/>
    </x:row>
    <x:row r="18" ht="27" customHeight="1">
      <x:c r="A18" s="3" t="str">
        <x:v>IVA</x:v>
      </x:c>
      <x:c r="B18" s="39"/>
      <x:c r="C18" s="3"/>
      <x:c r="D18" s="34"/>
      <x:c r="E18" s="34"/>
      <x:c r="F18" s="34"/>
    </x:row>
    <x:row r="19" ht="27" customHeight="1">
      <x:c r="A19" s="43" t="str">
        <x:v>Mano de obra</x:v>
      </x:c>
      <x:c r="B19" s="43"/>
      <x:c r="C19" s="3"/>
      <x:c r="D19" s="3"/>
      <x:c r="E19" s="3"/>
      <x:c r="F19" s="3"/>
    </x:row>
    <x:row r="20" ht="27" customHeight="1">
      <x:c r="A20" s="3" t="str">
        <x:v>Horas por jornada</x:v>
      </x:c>
      <x:c r="B20" s="36" t="n">
        <x:v>8</x:v>
      </x:c>
      <x:c r="C20" s="3"/>
      <x:c r="D20" s="34" t="str">
        <x:v>DH y HH pueden tomar estas tarifas si el costo unitario queda vacío y la moneda es USD. Un costo manual tiene prioridad.</x:v>
      </x:c>
      <x:c r="E20" s="34"/>
      <x:c r="F20" s="34"/>
    </x:row>
    <x:row r="21" ht="27" customHeight="1">
      <x:c r="A21" s="3" t="str">
        <x:v>Costo de día hombre (USD)</x:v>
      </x:c>
      <x:c r="B21" s="41"/>
      <x:c r="C21" s="3"/>
      <x:c r="D21" s="34"/>
      <x:c r="E21" s="34"/>
      <x:c r="F21" s="34"/>
    </x:row>
    <x:row r="22" ht="27" customHeight="1">
      <x:c r="A22" s="3" t="str">
        <x:v>Costo de hora hombre (USD)</x:v>
      </x:c>
      <x:c r="B22" s="22" t="str">
        <x:f>IF(OR(COUNT(B20:B21)&lt;2,B20&lt;=0),"",ROUND(B21/B20,2))</x:f>
      </x:c>
      <x:c r="C22" s="3"/>
      <x:c r="D22" s="34"/>
      <x:c r="E22" s="34"/>
      <x:c r="F22" s="34"/>
    </x:row>
    <x:row r="23" ht="6" customHeight="1">
      <x:c r="A23" s="3"/>
      <x:c r="B23" s="3"/>
      <x:c r="C23" s="3"/>
      <x:c r="D23" s="3"/>
      <x:c r="E23" s="3"/>
      <x:c r="F23" s="3"/>
    </x:row>
    <x:row r="24" ht="6" customHeight="1">
      <x:c r="A24" s="3"/>
      <x:c r="B24" s="3"/>
      <x:c r="C24" s="3"/>
      <x:c r="D24" s="3"/>
      <x:c r="E24" s="3"/>
      <x:c r="F24" s="3"/>
    </x:row>
    <x:row r="25" ht="27" customHeight="1">
      <x:c r="A25" s="43" t="str">
        <x:v>Datos de la oferta</x:v>
      </x:c>
      <x:c r="B25" s="43"/>
      <x:c r="C25" s="3"/>
      <x:c r="D25" s="3"/>
      <x:c r="E25" s="3"/>
      <x:c r="F25" s="3"/>
    </x:row>
    <x:row r="26" ht="27" customHeight="1">
      <x:c r="A26" s="3" t="str">
        <x:v>Cliente</x:v>
      </x:c>
      <x:c r="B26" s="50"/>
      <x:c r="C26" s="3"/>
      <x:c r="D26" s="3"/>
      <x:c r="E26" s="3"/>
      <x:c r="F26" s="3"/>
    </x:row>
    <x:row r="27" ht="27" customHeight="1">
      <x:c r="A27" s="3" t="str">
        <x:v>Proyecto</x:v>
      </x:c>
      <x:c r="B27" s="50"/>
      <x:c r="C27" s="3"/>
      <x:c r="D27" s="3"/>
      <x:c r="E27" s="3"/>
      <x:c r="F27" s="3"/>
    </x:row>
    <x:row r="28" ht="27" customHeight="1">
      <x:c r="A28" s="3" t="str">
        <x:v>Referencia / licitación</x:v>
      </x:c>
      <x:c r="B28" s="50"/>
      <x:c r="C28" s="3"/>
      <x:c r="D28" s="3"/>
      <x:c r="E28" s="3"/>
      <x:c r="F28" s="3"/>
    </x:row>
    <x:row r="29" ht="27" customHeight="1">
      <x:c r="A29" s="3" t="str">
        <x:v>Fecha de la oferta</x:v>
      </x:c>
      <x:c r="B29" s="38"/>
      <x:c r="C29" s="3"/>
      <x:c r="D29" s="3"/>
      <x:c r="E29" s="3"/>
      <x:c r="F29" s="3"/>
    </x:row>
    <x:row r="30" ht="6" customHeight="1">
      <x:c r="A30" s="3"/>
      <x:c r="B30" s="3"/>
      <x:c r="C30" s="3"/>
      <x:c r="D30" s="3"/>
      <x:c r="E30" s="3"/>
      <x:c r="F30" s="3"/>
    </x:row>
    <x:row r="31" ht="6" customHeight="1">
      <x:c r="A31" s="3"/>
      <x:c r="B31" s="3"/>
      <x:c r="C31" s="3"/>
      <x:c r="D31" s="3"/>
      <x:c r="E31" s="3"/>
      <x:c r="F31" s="3"/>
    </x:row>
    <x:row r="32" ht="20" customHeight="1">
      <x:c r="A32" s="34" t="str">
        <x:v>Celdas grises: datos editables. Azul: números ingresados. Verde: fórmulas vinculadas a otra hoja. Verificar moneda, fecha y condiciones antes de presentar.</x:v>
      </x:c>
      <x:c r="B32" s="34"/>
      <x:c r="C32" s="34"/>
      <x:c r="D32" s="34"/>
      <x:c r="E32" s="34"/>
      <x:c r="F32" s="34"/>
    </x:row>
    <x:row r="33" ht="20" customHeight="1">
      <x:c r="A33" s="34"/>
      <x:c r="B33" s="34"/>
      <x:c r="C33" s="34"/>
      <x:c r="D33" s="34"/>
      <x:c r="E33" s="34"/>
      <x:c r="F33" s="34"/>
    </x:row>
    <x:row r="34" ht="20" customHeight="1">
      <x:c r="A34" s="34"/>
      <x:c r="B34" s="34"/>
      <x:c r="C34" s="34"/>
      <x:c r="D34" s="34"/>
      <x:c r="E34" s="34"/>
      <x:c r="F34" s="34"/>
    </x:row>
  </x:sheetData>
  <x:mergeCells>
    <x:mergeCell ref="A5:F5"/>
    <x:mergeCell ref="A10:B10"/>
    <x:mergeCell ref="A15:B15"/>
    <x:mergeCell ref="A19:B19"/>
    <x:mergeCell ref="A25:B25"/>
    <x:mergeCell ref="D7:F9"/>
    <x:mergeCell ref="D11:F14"/>
    <x:mergeCell ref="D16:F18"/>
    <x:mergeCell ref="D20:F22"/>
    <x:mergeCell ref="A32:F34"/>
  </x:mergeCells>
  <x:dataValidations count="4">
    <x:dataValidation type="decimal" operator="between" sqref="B11:B14" allowBlank="1" showErrorMessage="1" errorStyle="stop" errorTitle="Revisar el valor" error="Ingresar un valor dentro del rango permitido.">
      <x:formula1>0</x:formula1>
      <x:formula2>0.99</x:formula2>
    </x:dataValidation>
    <x:dataValidation type="decimal" operator="between" sqref="B16:B18" allowBlank="1" showErrorMessage="1" errorStyle="stop" errorTitle="Revisar el valor" error="Ingresar un valor dentro del rango permitido.">
      <x:formula1>0</x:formula1>
      <x:formula2>1</x:formula2>
    </x:dataValidation>
    <x:dataValidation type="decimal" operator="greaterThanOrEqual" sqref="B7" allowBlank="1" showErrorMessage="1" errorStyle="stop" errorTitle="Revisar el valor" error="Ingresar un valor dentro del rango permitido.">
      <x:formula1>0</x:formula1>
    </x:dataValidation>
    <x:dataValidation type="decimal" operator="greaterThanOrEqual" sqref="B20:B21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8" orientation="landscape" fitToWidth="1" fitToHeight="0"/>
  <x:headerFooter>
    <x:oddFooter>&amp;L&amp;"UM Sans 2,Regular"&amp;9ULTIMA MILLA S.A. · Uso interno&amp;R&amp;P / &amp;N</x:oddFooter>
  </x:headerFooter>
  <x:drawing xmlns:r="http://schemas.openxmlformats.org/officeDocument/2006/relationships" r:id="R20fbcd4f74c74885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3.329999923706055" hidden="0" customWidth="1"/>
    <x:col min="2" max="2" width="33.33000183105469" hidden="0" customWidth="1"/>
    <x:col min="3" max="3" width="8.329999923706055" hidden="0" customWidth="1"/>
    <x:col min="4" max="4" width="10" hidden="0" customWidth="1"/>
    <x:col min="5" max="5" width="8.890000343322754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  <x:col min="9" max="9" width="11.109999656677246" hidden="0" customWidth="1"/>
    <x:col min="10" max="10" width="15.5600004196167" hidden="0" customWidth="1"/>
    <x:col min="11" max="11" width="16.110000610351562" hidden="0" customWidth="1"/>
    <x:col min="12" max="12" width="20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8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4" customHeight="1">
      <x:c r="A5" s="5" t="str">
        <x:v>Comparación de proveedores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27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27" customHeight="1">
      <x:c r="A7" s="3"/>
      <x:c r="B7" s="3"/>
      <x:c r="C7" s="3"/>
      <x:c r="D7" s="3"/>
      <x:c r="E7" s="3"/>
      <x:c r="F7" s="3" t="str">
        <x:v>Proveedor A</x:v>
      </x:c>
      <x:c r="G7" s="3" t="str">
        <x:v>Proveedor B</x:v>
      </x:c>
      <x:c r="H7" s="3"/>
      <x:c r="I7" s="3"/>
      <x:c r="J7" s="3"/>
      <x:c r="K7" s="3"/>
      <x:c r="L7" s="3"/>
    </x:row>
    <x:row r="8" ht="27" customHeight="1">
      <x:c r="A8" s="3"/>
      <x:c r="B8" s="3"/>
      <x:c r="C8" s="3"/>
      <x:c r="D8" s="3"/>
      <x:c r="E8" s="3"/>
      <x:c r="F8" s="36"/>
      <x:c r="G8" s="36"/>
      <x:c r="H8" s="3"/>
      <x:c r="I8" s="3"/>
      <x:c r="J8" s="3"/>
      <x:c r="K8" s="3"/>
      <x:c r="L8" s="3"/>
    </x:row>
    <x:row r="9" ht="27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7" customHeight="1">
      <x:c r="A10" s="34" t="str">
        <x:v>Comparar precios en la misma moneda y fecha por renglón. Elegir A o B, considerar stock / plazo y trasladar el precio elegido al costeo con el mismo código.</x:v>
      </x:c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</x:row>
    <x:row r="11" ht="27" customHeight="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</x:row>
    <x:row r="12" ht="27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42" customHeight="1">
      <x:c r="A13" s="16" t="str">
        <x:v>Código</x:v>
      </x:c>
      <x:c r="B13" s="17" t="str">
        <x:v>Descripción</x:v>
      </x:c>
      <x:c r="C13" s="17" t="str">
        <x:v>Unidad</x:v>
      </x:c>
      <x:c r="D13" s="17" t="str">
        <x:v>Cantidad</x:v>
      </x:c>
      <x:c r="E13" s="17" t="str">
        <x:v>Moneda</x:v>
      </x:c>
      <x:c r="F13" s="17" t="str">
        <x:v>Precio A</x:v>
      </x:c>
      <x:c r="G13" s="17" t="str">
        <x:v>Precio B</x:v>
      </x:c>
      <x:c r="H13" s="17" t="str">
        <x:v>Diferencia B / A</x:v>
      </x:c>
      <x:c r="I13" s="17" t="str">
        <x:v>Elegir A / B</x:v>
      </x:c>
      <x:c r="J13" s="17" t="str">
        <x:v>Precio elegido</x:v>
      </x:c>
      <x:c r="K13" s="17" t="str">
        <x:v>Total elegido</x:v>
      </x:c>
      <x:c r="L13" s="18" t="str">
        <x:v>Stock / plazo</x:v>
      </x:c>
    </x:row>
    <x:row r="14" ht="32" customHeight="1">
      <x:c r="A14" s="48"/>
      <x:c r="B14" s="61"/>
      <x:c r="C14" s="48"/>
      <x:c r="D14" s="55"/>
      <x:c r="E14" s="51"/>
      <x:c r="F14" s="25"/>
      <x:c r="G14" s="25"/>
      <x:c r="H14" s="53" t="str">
        <x:f>IF(COUNT(F14:G14)&lt;2,"",IF(F14=0,"Sin base",(G14-F14)/F14))</x:f>
      </x:c>
      <x:c r="I14" s="25"/>
      <x:c r="J14" s="25" t="str">
        <x:f>IF(COUNTA(A14:G14,I14,L14)=0,"",IF(I14="A",IF(COUNT(F14)=0,"Completar",F14),IF(I14="B",IF(COUNT(G14)=0,"Completar",G14),"Completar")))</x:f>
      </x:c>
      <x:c r="K14" s="25" t="str">
        <x:f>IF(COUNTA(A14:G14,I14,L14)=0,"",IF(OR(A14="",B14="",COUNT(D14,J14)&lt;2,AND(E14&lt;&gt;"USD",E14&lt;&gt;"ARS")),"Completar",ROUND(D14*ROUND(J14,2),2)))</x:f>
      </x:c>
      <x:c r="L14" s="19"/>
    </x:row>
    <x:row r="15" ht="32" customHeight="1">
      <x:c r="A15" s="49"/>
      <x:c r="B15" s="62"/>
      <x:c r="C15" s="49"/>
      <x:c r="D15" s="56"/>
      <x:c r="E15" s="52"/>
      <x:c r="F15" s="26"/>
      <x:c r="G15" s="26"/>
      <x:c r="H15" s="54" t="str">
        <x:f>IF(COUNT(F15:G15)&lt;2,"",IF(F15=0,"Sin base",(G15-F15)/F15))</x:f>
      </x:c>
      <x:c r="I15" s="26"/>
      <x:c r="J15" s="26" t="str">
        <x:f>IF(COUNTA(A15:G15,I15,L15)=0,"",IF(I15="A",IF(COUNT(F15)=0,"Completar",F15),IF(I15="B",IF(COUNT(G15)=0,"Completar",G15),"Completar")))</x:f>
      </x:c>
      <x:c r="K15" s="26" t="str">
        <x:f>IF(COUNTA(A15:G15,I15,L15)=0,"",IF(OR(A15="",B15="",COUNT(D15,J15)&lt;2,AND(E15&lt;&gt;"USD",E15&lt;&gt;"ARS")),"Completar",ROUND(D15*ROUND(J15,2),2)))</x:f>
      </x:c>
      <x:c r="L15" s="21"/>
    </x:row>
    <x:row r="16" ht="32" customHeight="1">
      <x:c r="A16" s="48"/>
      <x:c r="B16" s="61"/>
      <x:c r="C16" s="48"/>
      <x:c r="D16" s="55"/>
      <x:c r="E16" s="51"/>
      <x:c r="F16" s="25"/>
      <x:c r="G16" s="25"/>
      <x:c r="H16" s="53" t="str">
        <x:f>IF(COUNT(F16:G16)&lt;2,"",IF(F16=0,"Sin base",(G16-F16)/F16))</x:f>
      </x:c>
      <x:c r="I16" s="25"/>
      <x:c r="J16" s="25" t="str">
        <x:f>IF(COUNTA(A16:G16,I16,L16)=0,"",IF(I16="A",IF(COUNT(F16)=0,"Completar",F16),IF(I16="B",IF(COUNT(G16)=0,"Completar",G16),"Completar")))</x:f>
      </x:c>
      <x:c r="K16" s="25" t="str">
        <x:f>IF(COUNTA(A16:G16,I16,L16)=0,"",IF(OR(A16="",B16="",COUNT(D16,J16)&lt;2,AND(E16&lt;&gt;"USD",E16&lt;&gt;"ARS")),"Completar",ROUND(D16*ROUND(J16,2),2)))</x:f>
      </x:c>
      <x:c r="L16" s="19"/>
    </x:row>
    <x:row r="17" ht="32" customHeight="1">
      <x:c r="A17" s="49"/>
      <x:c r="B17" s="62"/>
      <x:c r="C17" s="49"/>
      <x:c r="D17" s="56"/>
      <x:c r="E17" s="52"/>
      <x:c r="F17" s="26"/>
      <x:c r="G17" s="26"/>
      <x:c r="H17" s="54" t="str">
        <x:f>IF(COUNT(F17:G17)&lt;2,"",IF(F17=0,"Sin base",(G17-F17)/F17))</x:f>
      </x:c>
      <x:c r="I17" s="26"/>
      <x:c r="J17" s="26" t="str">
        <x:f>IF(COUNTA(A17:G17,I17,L17)=0,"",IF(I17="A",IF(COUNT(F17)=0,"Completar",F17),IF(I17="B",IF(COUNT(G17)=0,"Completar",G17),"Completar")))</x:f>
      </x:c>
      <x:c r="K17" s="26" t="str">
        <x:f>IF(COUNTA(A17:G17,I17,L17)=0,"",IF(OR(A17="",B17="",COUNT(D17,J17)&lt;2,AND(E17&lt;&gt;"USD",E17&lt;&gt;"ARS")),"Completar",ROUND(D17*ROUND(J17,2),2)))</x:f>
      </x:c>
      <x:c r="L17" s="21"/>
    </x:row>
    <x:row r="18" ht="32" customHeight="1">
      <x:c r="A18" s="48"/>
      <x:c r="B18" s="61"/>
      <x:c r="C18" s="48"/>
      <x:c r="D18" s="55"/>
      <x:c r="E18" s="51"/>
      <x:c r="F18" s="25"/>
      <x:c r="G18" s="25"/>
      <x:c r="H18" s="53" t="str">
        <x:f>IF(COUNT(F18:G18)&lt;2,"",IF(F18=0,"Sin base",(G18-F18)/F18))</x:f>
      </x:c>
      <x:c r="I18" s="25"/>
      <x:c r="J18" s="25" t="str">
        <x:f>IF(COUNTA(A18:G18,I18,L18)=0,"",IF(I18="A",IF(COUNT(F18)=0,"Completar",F18),IF(I18="B",IF(COUNT(G18)=0,"Completar",G18),"Completar")))</x:f>
      </x:c>
      <x:c r="K18" s="25" t="str">
        <x:f>IF(COUNTA(A18:G18,I18,L18)=0,"",IF(OR(A18="",B18="",COUNT(D18,J18)&lt;2,AND(E18&lt;&gt;"USD",E18&lt;&gt;"ARS")),"Completar",ROUND(D18*ROUND(J18,2),2)))</x:f>
      </x:c>
      <x:c r="L18" s="19"/>
    </x:row>
    <x:row r="19" ht="32" customHeight="1">
      <x:c r="A19" s="49"/>
      <x:c r="B19" s="62"/>
      <x:c r="C19" s="49"/>
      <x:c r="D19" s="56"/>
      <x:c r="E19" s="52"/>
      <x:c r="F19" s="26"/>
      <x:c r="G19" s="26"/>
      <x:c r="H19" s="54" t="str">
        <x:f>IF(COUNT(F19:G19)&lt;2,"",IF(F19=0,"Sin base",(G19-F19)/F19))</x:f>
      </x:c>
      <x:c r="I19" s="26"/>
      <x:c r="J19" s="26" t="str">
        <x:f>IF(COUNTA(A19:G19,I19,L19)=0,"",IF(I19="A",IF(COUNT(F19)=0,"Completar",F19),IF(I19="B",IF(COUNT(G19)=0,"Completar",G19),"Completar")))</x:f>
      </x:c>
      <x:c r="K19" s="26" t="str">
        <x:f>IF(COUNTA(A19:G19,I19,L19)=0,"",IF(OR(A19="",B19="",COUNT(D19,J19)&lt;2,AND(E19&lt;&gt;"USD",E19&lt;&gt;"ARS")),"Completar",ROUND(D19*ROUND(J19,2),2)))</x:f>
      </x:c>
      <x:c r="L19" s="21"/>
    </x:row>
    <x:row r="20" ht="32" customHeight="1">
      <x:c r="A20" s="48"/>
      <x:c r="B20" s="61"/>
      <x:c r="C20" s="48"/>
      <x:c r="D20" s="55"/>
      <x:c r="E20" s="51"/>
      <x:c r="F20" s="25"/>
      <x:c r="G20" s="25"/>
      <x:c r="H20" s="53" t="str">
        <x:f>IF(COUNT(F20:G20)&lt;2,"",IF(F20=0,"Sin base",(G20-F20)/F20))</x:f>
      </x:c>
      <x:c r="I20" s="25"/>
      <x:c r="J20" s="25" t="str">
        <x:f>IF(COUNTA(A20:G20,I20,L20)=0,"",IF(I20="A",IF(COUNT(F20)=0,"Completar",F20),IF(I20="B",IF(COUNT(G20)=0,"Completar",G20),"Completar")))</x:f>
      </x:c>
      <x:c r="K20" s="25" t="str">
        <x:f>IF(COUNTA(A20:G20,I20,L20)=0,"",IF(OR(A20="",B20="",COUNT(D20,J20)&lt;2,AND(E20&lt;&gt;"USD",E20&lt;&gt;"ARS")),"Completar",ROUND(D20*ROUND(J20,2),2)))</x:f>
      </x:c>
      <x:c r="L20" s="19"/>
    </x:row>
    <x:row r="21" ht="32" customHeight="1">
      <x:c r="A21" s="49"/>
      <x:c r="B21" s="62"/>
      <x:c r="C21" s="49"/>
      <x:c r="D21" s="56"/>
      <x:c r="E21" s="52"/>
      <x:c r="F21" s="26"/>
      <x:c r="G21" s="26"/>
      <x:c r="H21" s="54" t="str">
        <x:f>IF(COUNT(F21:G21)&lt;2,"",IF(F21=0,"Sin base",(G21-F21)/F21))</x:f>
      </x:c>
      <x:c r="I21" s="26"/>
      <x:c r="J21" s="26" t="str">
        <x:f>IF(COUNTA(A21:G21,I21,L21)=0,"",IF(I21="A",IF(COUNT(F21)=0,"Completar",F21),IF(I21="B",IF(COUNT(G21)=0,"Completar",G21),"Completar")))</x:f>
      </x:c>
      <x:c r="K21" s="26" t="str">
        <x:f>IF(COUNTA(A21:G21,I21,L21)=0,"",IF(OR(A21="",B21="",COUNT(D21,J21)&lt;2,AND(E21&lt;&gt;"USD",E21&lt;&gt;"ARS")),"Completar",ROUND(D21*ROUND(J21,2),2)))</x:f>
      </x:c>
      <x:c r="L21" s="21"/>
    </x:row>
    <x:row r="22" ht="32" customHeight="1">
      <x:c r="A22" s="48"/>
      <x:c r="B22" s="61"/>
      <x:c r="C22" s="48"/>
      <x:c r="D22" s="55"/>
      <x:c r="E22" s="51"/>
      <x:c r="F22" s="25"/>
      <x:c r="G22" s="25"/>
      <x:c r="H22" s="53" t="str">
        <x:f>IF(COUNT(F22:G22)&lt;2,"",IF(F22=0,"Sin base",(G22-F22)/F22))</x:f>
      </x:c>
      <x:c r="I22" s="25"/>
      <x:c r="J22" s="25" t="str">
        <x:f>IF(COUNTA(A22:G22,I22,L22)=0,"",IF(I22="A",IF(COUNT(F22)=0,"Completar",F22),IF(I22="B",IF(COUNT(G22)=0,"Completar",G22),"Completar")))</x:f>
      </x:c>
      <x:c r="K22" s="25" t="str">
        <x:f>IF(COUNTA(A22:G22,I22,L22)=0,"",IF(OR(A22="",B22="",COUNT(D22,J22)&lt;2,AND(E22&lt;&gt;"USD",E22&lt;&gt;"ARS")),"Completar",ROUND(D22*ROUND(J22,2),2)))</x:f>
      </x:c>
      <x:c r="L22" s="19"/>
    </x:row>
    <x:row r="23" ht="32" customHeight="1">
      <x:c r="A23" s="49"/>
      <x:c r="B23" s="62"/>
      <x:c r="C23" s="49"/>
      <x:c r="D23" s="56"/>
      <x:c r="E23" s="52"/>
      <x:c r="F23" s="26"/>
      <x:c r="G23" s="26"/>
      <x:c r="H23" s="54" t="str">
        <x:f>IF(COUNT(F23:G23)&lt;2,"",IF(F23=0,"Sin base",(G23-F23)/F23))</x:f>
      </x:c>
      <x:c r="I23" s="26"/>
      <x:c r="J23" s="26" t="str">
        <x:f>IF(COUNTA(A23:G23,I23,L23)=0,"",IF(I23="A",IF(COUNT(F23)=0,"Completar",F23),IF(I23="B",IF(COUNT(G23)=0,"Completar",G23),"Completar")))</x:f>
      </x:c>
      <x:c r="K23" s="26" t="str">
        <x:f>IF(COUNTA(A23:G23,I23,L23)=0,"",IF(OR(A23="",B23="",COUNT(D23,J23)&lt;2,AND(E23&lt;&gt;"USD",E23&lt;&gt;"ARS")),"Completar",ROUND(D23*ROUND(J23,2),2)))</x:f>
      </x:c>
      <x:c r="L23" s="21"/>
    </x:row>
    <x:row r="24" ht="32" customHeight="1">
      <x:c r="A24" s="48"/>
      <x:c r="B24" s="61"/>
      <x:c r="C24" s="48"/>
      <x:c r="D24" s="55"/>
      <x:c r="E24" s="51"/>
      <x:c r="F24" s="25"/>
      <x:c r="G24" s="25"/>
      <x:c r="H24" s="53" t="str">
        <x:f>IF(COUNT(F24:G24)&lt;2,"",IF(F24=0,"Sin base",(G24-F24)/F24))</x:f>
      </x:c>
      <x:c r="I24" s="25"/>
      <x:c r="J24" s="25" t="str">
        <x:f>IF(COUNTA(A24:G24,I24,L24)=0,"",IF(I24="A",IF(COUNT(F24)=0,"Completar",F24),IF(I24="B",IF(COUNT(G24)=0,"Completar",G24),"Completar")))</x:f>
      </x:c>
      <x:c r="K24" s="25" t="str">
        <x:f>IF(COUNTA(A24:G24,I24,L24)=0,"",IF(OR(A24="",B24="",COUNT(D24,J24)&lt;2,AND(E24&lt;&gt;"USD",E24&lt;&gt;"ARS")),"Completar",ROUND(D24*ROUND(J24,2),2)))</x:f>
      </x:c>
      <x:c r="L24" s="19"/>
    </x:row>
    <x:row r="25" ht="32" customHeight="1">
      <x:c r="A25" s="49"/>
      <x:c r="B25" s="62"/>
      <x:c r="C25" s="49"/>
      <x:c r="D25" s="56"/>
      <x:c r="E25" s="52"/>
      <x:c r="F25" s="26"/>
      <x:c r="G25" s="26"/>
      <x:c r="H25" s="54" t="str">
        <x:f>IF(COUNT(F25:G25)&lt;2,"",IF(F25=0,"Sin base",(G25-F25)/F25))</x:f>
      </x:c>
      <x:c r="I25" s="26"/>
      <x:c r="J25" s="26" t="str">
        <x:f>IF(COUNTA(A25:G25,I25,L25)=0,"",IF(I25="A",IF(COUNT(F25)=0,"Completar",F25),IF(I25="B",IF(COUNT(G25)=0,"Completar",G25),"Completar")))</x:f>
      </x:c>
      <x:c r="K25" s="26" t="str">
        <x:f>IF(COUNTA(A25:G25,I25,L25)=0,"",IF(OR(A25="",B25="",COUNT(D25,J25)&lt;2,AND(E25&lt;&gt;"USD",E25&lt;&gt;"ARS")),"Completar",ROUND(D25*ROUND(J25,2),2)))</x:f>
      </x:c>
      <x:c r="L25" s="21"/>
    </x:row>
    <x:row r="26" ht="32" customHeight="1">
      <x:c r="A26" s="48"/>
      <x:c r="B26" s="61"/>
      <x:c r="C26" s="48"/>
      <x:c r="D26" s="55"/>
      <x:c r="E26" s="51"/>
      <x:c r="F26" s="25"/>
      <x:c r="G26" s="25"/>
      <x:c r="H26" s="53" t="str">
        <x:f>IF(COUNT(F26:G26)&lt;2,"",IF(F26=0,"Sin base",(G26-F26)/F26))</x:f>
      </x:c>
      <x:c r="I26" s="25"/>
      <x:c r="J26" s="25" t="str">
        <x:f>IF(COUNTA(A26:G26,I26,L26)=0,"",IF(I26="A",IF(COUNT(F26)=0,"Completar",F26),IF(I26="B",IF(COUNT(G26)=0,"Completar",G26),"Completar")))</x:f>
      </x:c>
      <x:c r="K26" s="25" t="str">
        <x:f>IF(COUNTA(A26:G26,I26,L26)=0,"",IF(OR(A26="",B26="",COUNT(D26,J26)&lt;2,AND(E26&lt;&gt;"USD",E26&lt;&gt;"ARS")),"Completar",ROUND(D26*ROUND(J26,2),2)))</x:f>
      </x:c>
      <x:c r="L26" s="19"/>
    </x:row>
    <x:row r="27" ht="32" customHeight="1">
      <x:c r="A27" s="49"/>
      <x:c r="B27" s="62"/>
      <x:c r="C27" s="49"/>
      <x:c r="D27" s="56"/>
      <x:c r="E27" s="52"/>
      <x:c r="F27" s="26"/>
      <x:c r="G27" s="26"/>
      <x:c r="H27" s="54" t="str">
        <x:f>IF(COUNT(F27:G27)&lt;2,"",IF(F27=0,"Sin base",(G27-F27)/F27))</x:f>
      </x:c>
      <x:c r="I27" s="26"/>
      <x:c r="J27" s="26" t="str">
        <x:f>IF(COUNTA(A27:G27,I27,L27)=0,"",IF(I27="A",IF(COUNT(F27)=0,"Completar",F27),IF(I27="B",IF(COUNT(G27)=0,"Completar",G27),"Completar")))</x:f>
      </x:c>
      <x:c r="K27" s="26" t="str">
        <x:f>IF(COUNTA(A27:G27,I27,L27)=0,"",IF(OR(A27="",B27="",COUNT(D27,J27)&lt;2,AND(E27&lt;&gt;"USD",E27&lt;&gt;"ARS")),"Completar",ROUND(D27*ROUND(J27,2),2)))</x:f>
      </x:c>
      <x:c r="L27" s="21"/>
    </x:row>
    <x:row r="28" ht="32" customHeight="1">
      <x:c r="A28" s="48"/>
      <x:c r="B28" s="61"/>
      <x:c r="C28" s="48"/>
      <x:c r="D28" s="55"/>
      <x:c r="E28" s="51"/>
      <x:c r="F28" s="25"/>
      <x:c r="G28" s="25"/>
      <x:c r="H28" s="53" t="str">
        <x:f>IF(COUNT(F28:G28)&lt;2,"",IF(F28=0,"Sin base",(G28-F28)/F28))</x:f>
      </x:c>
      <x:c r="I28" s="25"/>
      <x:c r="J28" s="25" t="str">
        <x:f>IF(COUNTA(A28:G28,I28,L28)=0,"",IF(I28="A",IF(COUNT(F28)=0,"Completar",F28),IF(I28="B",IF(COUNT(G28)=0,"Completar",G28),"Completar")))</x:f>
      </x:c>
      <x:c r="K28" s="25" t="str">
        <x:f>IF(COUNTA(A28:G28,I28,L28)=0,"",IF(OR(A28="",B28="",COUNT(D28,J28)&lt;2,AND(E28&lt;&gt;"USD",E28&lt;&gt;"ARS")),"Completar",ROUND(D28*ROUND(J28,2),2)))</x:f>
      </x:c>
      <x:c r="L28" s="19"/>
    </x:row>
    <x:row r="29" ht="32" customHeight="1">
      <x:c r="A29" s="49"/>
      <x:c r="B29" s="62"/>
      <x:c r="C29" s="49"/>
      <x:c r="D29" s="56"/>
      <x:c r="E29" s="52"/>
      <x:c r="F29" s="26"/>
      <x:c r="G29" s="26"/>
      <x:c r="H29" s="54" t="str">
        <x:f>IF(COUNT(F29:G29)&lt;2,"",IF(F29=0,"Sin base",(G29-F29)/F29))</x:f>
      </x:c>
      <x:c r="I29" s="26"/>
      <x:c r="J29" s="26" t="str">
        <x:f>IF(COUNTA(A29:G29,I29,L29)=0,"",IF(I29="A",IF(COUNT(F29)=0,"Completar",F29),IF(I29="B",IF(COUNT(G29)=0,"Completar",G29),"Completar")))</x:f>
      </x:c>
      <x:c r="K29" s="26" t="str">
        <x:f>IF(COUNTA(A29:G29,I29,L29)=0,"",IF(OR(A29="",B29="",COUNT(D29,J29)&lt;2,AND(E29&lt;&gt;"USD",E29&lt;&gt;"ARS")),"Completar",ROUND(D29*ROUND(J29,2),2)))</x:f>
      </x:c>
      <x:c r="L29" s="21"/>
    </x:row>
    <x:row r="30" ht="32" customHeight="1">
      <x:c r="A30" s="48"/>
      <x:c r="B30" s="61"/>
      <x:c r="C30" s="48"/>
      <x:c r="D30" s="55"/>
      <x:c r="E30" s="51"/>
      <x:c r="F30" s="25"/>
      <x:c r="G30" s="25"/>
      <x:c r="H30" s="53" t="str">
        <x:f>IF(COUNT(F30:G30)&lt;2,"",IF(F30=0,"Sin base",(G30-F30)/F30))</x:f>
      </x:c>
      <x:c r="I30" s="25"/>
      <x:c r="J30" s="25" t="str">
        <x:f>IF(COUNTA(A30:G30,I30,L30)=0,"",IF(I30="A",IF(COUNT(F30)=0,"Completar",F30),IF(I30="B",IF(COUNT(G30)=0,"Completar",G30),"Completar")))</x:f>
      </x:c>
      <x:c r="K30" s="25" t="str">
        <x:f>IF(COUNTA(A30:G30,I30,L30)=0,"",IF(OR(A30="",B30="",COUNT(D30,J30)&lt;2,AND(E30&lt;&gt;"USD",E30&lt;&gt;"ARS")),"Completar",ROUND(D30*ROUND(J30,2),2)))</x:f>
      </x:c>
      <x:c r="L30" s="19"/>
    </x:row>
    <x:row r="31" ht="32" customHeight="1">
      <x:c r="A31" s="49"/>
      <x:c r="B31" s="62"/>
      <x:c r="C31" s="49"/>
      <x:c r="D31" s="56"/>
      <x:c r="E31" s="52"/>
      <x:c r="F31" s="26"/>
      <x:c r="G31" s="26"/>
      <x:c r="H31" s="54" t="str">
        <x:f>IF(COUNT(F31:G31)&lt;2,"",IF(F31=0,"Sin base",(G31-F31)/F31))</x:f>
      </x:c>
      <x:c r="I31" s="26"/>
      <x:c r="J31" s="26" t="str">
        <x:f>IF(COUNTA(A31:G31,I31,L31)=0,"",IF(I31="A",IF(COUNT(F31)=0,"Completar",F31),IF(I31="B",IF(COUNT(G31)=0,"Completar",G31),"Completar")))</x:f>
      </x:c>
      <x:c r="K31" s="26" t="str">
        <x:f>IF(COUNTA(A31:G31,I31,L31)=0,"",IF(OR(A31="",B31="",COUNT(D31,J31)&lt;2,AND(E31&lt;&gt;"USD",E31&lt;&gt;"ARS")),"Completar",ROUND(D31*ROUND(J31,2),2)))</x:f>
      </x:c>
      <x:c r="L31" s="21"/>
    </x:row>
    <x:row r="32" ht="32" customHeight="1">
      <x:c r="A32" s="48"/>
      <x:c r="B32" s="61"/>
      <x:c r="C32" s="48"/>
      <x:c r="D32" s="55"/>
      <x:c r="E32" s="51"/>
      <x:c r="F32" s="25"/>
      <x:c r="G32" s="25"/>
      <x:c r="H32" s="53" t="str">
        <x:f>IF(COUNT(F32:G32)&lt;2,"",IF(F32=0,"Sin base",(G32-F32)/F32))</x:f>
      </x:c>
      <x:c r="I32" s="25"/>
      <x:c r="J32" s="25" t="str">
        <x:f>IF(COUNTA(A32:G32,I32,L32)=0,"",IF(I32="A",IF(COUNT(F32)=0,"Completar",F32),IF(I32="B",IF(COUNT(G32)=0,"Completar",G32),"Completar")))</x:f>
      </x:c>
      <x:c r="K32" s="25" t="str">
        <x:f>IF(COUNTA(A32:G32,I32,L32)=0,"",IF(OR(A32="",B32="",COUNT(D32,J32)&lt;2,AND(E32&lt;&gt;"USD",E32&lt;&gt;"ARS")),"Completar",ROUND(D32*ROUND(J32,2),2)))</x:f>
      </x:c>
      <x:c r="L32" s="19"/>
    </x:row>
    <x:row r="33" ht="32" customHeight="1">
      <x:c r="A33" s="49"/>
      <x:c r="B33" s="62"/>
      <x:c r="C33" s="49"/>
      <x:c r="D33" s="56"/>
      <x:c r="E33" s="52"/>
      <x:c r="F33" s="26"/>
      <x:c r="G33" s="26"/>
      <x:c r="H33" s="54" t="str">
        <x:f>IF(COUNT(F33:G33)&lt;2,"",IF(F33=0,"Sin base",(G33-F33)/F33))</x:f>
      </x:c>
      <x:c r="I33" s="26"/>
      <x:c r="J33" s="26" t="str">
        <x:f>IF(COUNTA(A33:G33,I33,L33)=0,"",IF(I33="A",IF(COUNT(F33)=0,"Completar",F33),IF(I33="B",IF(COUNT(G33)=0,"Completar",G33),"Completar")))</x:f>
      </x:c>
      <x:c r="K33" s="26" t="str">
        <x:f>IF(COUNTA(A33:G33,I33,L33)=0,"",IF(OR(A33="",B33="",COUNT(D33,J33)&lt;2,AND(E33&lt;&gt;"USD",E33&lt;&gt;"ARS")),"Completar",ROUND(D33*ROUND(J33,2),2)))</x:f>
      </x:c>
      <x:c r="L33" s="21"/>
    </x:row>
    <x:row r="34" ht="32" customHeight="1">
      <x:c r="A34" s="48"/>
      <x:c r="B34" s="61"/>
      <x:c r="C34" s="48"/>
      <x:c r="D34" s="55"/>
      <x:c r="E34" s="51"/>
      <x:c r="F34" s="25"/>
      <x:c r="G34" s="25"/>
      <x:c r="H34" s="53" t="str">
        <x:f>IF(COUNT(F34:G34)&lt;2,"",IF(F34=0,"Sin base",(G34-F34)/F34))</x:f>
      </x:c>
      <x:c r="I34" s="25"/>
      <x:c r="J34" s="25" t="str">
        <x:f>IF(COUNTA(A34:G34,I34,L34)=0,"",IF(I34="A",IF(COUNT(F34)=0,"Completar",F34),IF(I34="B",IF(COUNT(G34)=0,"Completar",G34),"Completar")))</x:f>
      </x:c>
      <x:c r="K34" s="25" t="str">
        <x:f>IF(COUNTA(A34:G34,I34,L34)=0,"",IF(OR(A34="",B34="",COUNT(D34,J34)&lt;2,AND(E34&lt;&gt;"USD",E34&lt;&gt;"ARS")),"Completar",ROUND(D34*ROUND(J34,2),2)))</x:f>
      </x:c>
      <x:c r="L34" s="19"/>
    </x:row>
    <x:row r="35" ht="32" customHeight="1">
      <x:c r="A35" s="49"/>
      <x:c r="B35" s="62"/>
      <x:c r="C35" s="49"/>
      <x:c r="D35" s="56"/>
      <x:c r="E35" s="52"/>
      <x:c r="F35" s="26"/>
      <x:c r="G35" s="26"/>
      <x:c r="H35" s="54" t="str">
        <x:f>IF(COUNT(F35:G35)&lt;2,"",IF(F35=0,"Sin base",(G35-F35)/F35))</x:f>
      </x:c>
      <x:c r="I35" s="26"/>
      <x:c r="J35" s="26" t="str">
        <x:f>IF(COUNTA(A35:G35,I35,L35)=0,"",IF(I35="A",IF(COUNT(F35)=0,"Completar",F35),IF(I35="B",IF(COUNT(G35)=0,"Completar",G35),"Completar")))</x:f>
      </x:c>
      <x:c r="K35" s="26" t="str">
        <x:f>IF(COUNTA(A35:G35,I35,L35)=0,"",IF(OR(A35="",B35="",COUNT(D35,J35)&lt;2,AND(E35&lt;&gt;"USD",E35&lt;&gt;"ARS")),"Completar",ROUND(D35*ROUND(J35,2),2)))</x:f>
      </x:c>
      <x:c r="L35" s="21"/>
    </x:row>
    <x:row r="36" ht="32" customHeight="1">
      <x:c r="A36" s="48"/>
      <x:c r="B36" s="61"/>
      <x:c r="C36" s="48"/>
      <x:c r="D36" s="55"/>
      <x:c r="E36" s="51"/>
      <x:c r="F36" s="25"/>
      <x:c r="G36" s="25"/>
      <x:c r="H36" s="53" t="str">
        <x:f>IF(COUNT(F36:G36)&lt;2,"",IF(F36=0,"Sin base",(G36-F36)/F36))</x:f>
      </x:c>
      <x:c r="I36" s="25"/>
      <x:c r="J36" s="25" t="str">
        <x:f>IF(COUNTA(A36:G36,I36,L36)=0,"",IF(I36="A",IF(COUNT(F36)=0,"Completar",F36),IF(I36="B",IF(COUNT(G36)=0,"Completar",G36),"Completar")))</x:f>
      </x:c>
      <x:c r="K36" s="25" t="str">
        <x:f>IF(COUNTA(A36:G36,I36,L36)=0,"",IF(OR(A36="",B36="",COUNT(D36,J36)&lt;2,AND(E36&lt;&gt;"USD",E36&lt;&gt;"ARS")),"Completar",ROUND(D36*ROUND(J36,2),2)))</x:f>
      </x:c>
      <x:c r="L36" s="19"/>
    </x:row>
    <x:row r="37" ht="32" customHeight="1">
      <x:c r="A37" s="49"/>
      <x:c r="B37" s="62"/>
      <x:c r="C37" s="49"/>
      <x:c r="D37" s="56"/>
      <x:c r="E37" s="52"/>
      <x:c r="F37" s="26"/>
      <x:c r="G37" s="26"/>
      <x:c r="H37" s="54" t="str">
        <x:f>IF(COUNT(F37:G37)&lt;2,"",IF(F37=0,"Sin base",(G37-F37)/F37))</x:f>
      </x:c>
      <x:c r="I37" s="26"/>
      <x:c r="J37" s="26" t="str">
        <x:f>IF(COUNTA(A37:G37,I37,L37)=0,"",IF(I37="A",IF(COUNT(F37)=0,"Completar",F37),IF(I37="B",IF(COUNT(G37)=0,"Completar",G37),"Completar")))</x:f>
      </x:c>
      <x:c r="K37" s="26" t="str">
        <x:f>IF(COUNTA(A37:G37,I37,L37)=0,"",IF(OR(A37="",B37="",COUNT(D37,J37)&lt;2,AND(E37&lt;&gt;"USD",E37&lt;&gt;"ARS")),"Completar",ROUND(D37*ROUND(J37,2),2)))</x:f>
      </x:c>
      <x:c r="L37" s="21"/>
    </x:row>
    <x:row r="38" ht="32" customHeight="1">
      <x:c r="A38" s="48"/>
      <x:c r="B38" s="61"/>
      <x:c r="C38" s="48"/>
      <x:c r="D38" s="55"/>
      <x:c r="E38" s="51"/>
      <x:c r="F38" s="25"/>
      <x:c r="G38" s="25"/>
      <x:c r="H38" s="53" t="str">
        <x:f>IF(COUNT(F38:G38)&lt;2,"",IF(F38=0,"Sin base",(G38-F38)/F38))</x:f>
      </x:c>
      <x:c r="I38" s="25"/>
      <x:c r="J38" s="25" t="str">
        <x:f>IF(COUNTA(A38:G38,I38,L38)=0,"",IF(I38="A",IF(COUNT(F38)=0,"Completar",F38),IF(I38="B",IF(COUNT(G38)=0,"Completar",G38),"Completar")))</x:f>
      </x:c>
      <x:c r="K38" s="25" t="str">
        <x:f>IF(COUNTA(A38:G38,I38,L38)=0,"",IF(OR(A38="",B38="",COUNT(D38,J38)&lt;2,AND(E38&lt;&gt;"USD",E38&lt;&gt;"ARS")),"Completar",ROUND(D38*ROUND(J38,2),2)))</x:f>
      </x:c>
      <x:c r="L38" s="19"/>
    </x:row>
    <x:row r="39" ht="32" customHeight="1">
      <x:c r="A39" s="49"/>
      <x:c r="B39" s="62"/>
      <x:c r="C39" s="49"/>
      <x:c r="D39" s="56"/>
      <x:c r="E39" s="52"/>
      <x:c r="F39" s="26"/>
      <x:c r="G39" s="26"/>
      <x:c r="H39" s="54" t="str">
        <x:f>IF(COUNT(F39:G39)&lt;2,"",IF(F39=0,"Sin base",(G39-F39)/F39))</x:f>
      </x:c>
      <x:c r="I39" s="26"/>
      <x:c r="J39" s="26" t="str">
        <x:f>IF(COUNTA(A39:G39,I39,L39)=0,"",IF(I39="A",IF(COUNT(F39)=0,"Completar",F39),IF(I39="B",IF(COUNT(G39)=0,"Completar",G39),"Completar")))</x:f>
      </x:c>
      <x:c r="K39" s="26" t="str">
        <x:f>IF(COUNTA(A39:G39,I39,L39)=0,"",IF(OR(A39="",B39="",COUNT(D39,J39)&lt;2,AND(E39&lt;&gt;"USD",E39&lt;&gt;"ARS")),"Completar",ROUND(D39*ROUND(J39,2),2)))</x:f>
      </x:c>
      <x:c r="L39" s="21"/>
    </x:row>
    <x:row r="40" ht="32" customHeight="1">
      <x:c r="A40" s="48"/>
      <x:c r="B40" s="61"/>
      <x:c r="C40" s="48"/>
      <x:c r="D40" s="55"/>
      <x:c r="E40" s="51"/>
      <x:c r="F40" s="25"/>
      <x:c r="G40" s="25"/>
      <x:c r="H40" s="53" t="str">
        <x:f>IF(COUNT(F40:G40)&lt;2,"",IF(F40=0,"Sin base",(G40-F40)/F40))</x:f>
      </x:c>
      <x:c r="I40" s="25"/>
      <x:c r="J40" s="25" t="str">
        <x:f>IF(COUNTA(A40:G40,I40,L40)=0,"",IF(I40="A",IF(COUNT(F40)=0,"Completar",F40),IF(I40="B",IF(COUNT(G40)=0,"Completar",G40),"Completar")))</x:f>
      </x:c>
      <x:c r="K40" s="25" t="str">
        <x:f>IF(COUNTA(A40:G40,I40,L40)=0,"",IF(OR(A40="",B40="",COUNT(D40,J40)&lt;2,AND(E40&lt;&gt;"USD",E40&lt;&gt;"ARS")),"Completar",ROUND(D40*ROUND(J40,2),2)))</x:f>
      </x:c>
      <x:c r="L40" s="19"/>
    </x:row>
    <x:row r="41" ht="32" customHeight="1">
      <x:c r="A41" s="49"/>
      <x:c r="B41" s="62"/>
      <x:c r="C41" s="49"/>
      <x:c r="D41" s="56"/>
      <x:c r="E41" s="52"/>
      <x:c r="F41" s="26"/>
      <x:c r="G41" s="26"/>
      <x:c r="H41" s="54" t="str">
        <x:f>IF(COUNT(F41:G41)&lt;2,"",IF(F41=0,"Sin base",(G41-F41)/F41))</x:f>
      </x:c>
      <x:c r="I41" s="26"/>
      <x:c r="J41" s="26" t="str">
        <x:f>IF(COUNTA(A41:G41,I41,L41)=0,"",IF(I41="A",IF(COUNT(F41)=0,"Completar",F41),IF(I41="B",IF(COUNT(G41)=0,"Completar",G41),"Completar")))</x:f>
      </x:c>
      <x:c r="K41" s="26" t="str">
        <x:f>IF(COUNTA(A41:G41,I41,L41)=0,"",IF(OR(A41="",B41="",COUNT(D41,J41)&lt;2,AND(E41&lt;&gt;"USD",E41&lt;&gt;"ARS")),"Completar",ROUND(D41*ROUND(J41,2),2)))</x:f>
      </x:c>
      <x:c r="L41" s="21"/>
    </x:row>
    <x:row r="42" ht="32" customHeight="1">
      <x:c r="A42" s="48"/>
      <x:c r="B42" s="61"/>
      <x:c r="C42" s="48"/>
      <x:c r="D42" s="55"/>
      <x:c r="E42" s="51"/>
      <x:c r="F42" s="25"/>
      <x:c r="G42" s="25"/>
      <x:c r="H42" s="53" t="str">
        <x:f>IF(COUNT(F42:G42)&lt;2,"",IF(F42=0,"Sin base",(G42-F42)/F42))</x:f>
      </x:c>
      <x:c r="I42" s="25"/>
      <x:c r="J42" s="25" t="str">
        <x:f>IF(COUNTA(A42:G42,I42,L42)=0,"",IF(I42="A",IF(COUNT(F42)=0,"Completar",F42),IF(I42="B",IF(COUNT(G42)=0,"Completar",G42),"Completar")))</x:f>
      </x:c>
      <x:c r="K42" s="25" t="str">
        <x:f>IF(COUNTA(A42:G42,I42,L42)=0,"",IF(OR(A42="",B42="",COUNT(D42,J42)&lt;2,AND(E42&lt;&gt;"USD",E42&lt;&gt;"ARS")),"Completar",ROUND(D42*ROUND(J42,2),2)))</x:f>
      </x:c>
      <x:c r="L42" s="19"/>
    </x:row>
    <x:row r="43" ht="32" customHeight="1">
      <x:c r="A43" s="49"/>
      <x:c r="B43" s="62"/>
      <x:c r="C43" s="49"/>
      <x:c r="D43" s="56"/>
      <x:c r="E43" s="52"/>
      <x:c r="F43" s="26"/>
      <x:c r="G43" s="26"/>
      <x:c r="H43" s="54" t="str">
        <x:f>IF(COUNT(F43:G43)&lt;2,"",IF(F43=0,"Sin base",(G43-F43)/F43))</x:f>
      </x:c>
      <x:c r="I43" s="26"/>
      <x:c r="J43" s="26" t="str">
        <x:f>IF(COUNTA(A43:G43,I43,L43)=0,"",IF(I43="A",IF(COUNT(F43)=0,"Completar",F43),IF(I43="B",IF(COUNT(G43)=0,"Completar",G43),"Completar")))</x:f>
      </x:c>
      <x:c r="K43" s="26" t="str">
        <x:f>IF(COUNTA(A43:G43,I43,L43)=0,"",IF(OR(A43="",B43="",COUNT(D43,J43)&lt;2,AND(E43&lt;&gt;"USD",E43&lt;&gt;"ARS")),"Completar",ROUND(D43*ROUND(J43,2),2)))</x:f>
      </x:c>
      <x:c r="L43" s="21"/>
    </x:row>
    <x:row r="44" ht="27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7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7" customHeight="1">
      <x:c r="A46" s="3"/>
      <x:c r="B46" s="3"/>
      <x:c r="C46" s="3"/>
      <x:c r="D46" s="3"/>
      <x:c r="E46" s="3"/>
      <x:c r="F46" s="3"/>
      <x:c r="G46" s="3"/>
      <x:c r="H46" s="3" t="str">
        <x:v>Total elegido USD</x:v>
      </x:c>
      <x:c r="I46" s="3"/>
      <x:c r="J46" s="3"/>
      <x:c r="K46" s="24" t="str">
        <x:f>IF(COUNTIF(K14:K43,"Completar")&gt;0,"Completar",IF(COUNT(K14:K43)=0,"",SUMIF(E14:E43,"USD",K14:K43)))</x:f>
      </x:c>
      <x:c r="L46" s="3"/>
    </x:row>
    <x:row r="47" ht="27" customHeight="1">
      <x:c r="A47" s="3"/>
      <x:c r="B47" s="3"/>
      <x:c r="C47" s="3"/>
      <x:c r="D47" s="3"/>
      <x:c r="E47" s="3"/>
      <x:c r="F47" s="3"/>
      <x:c r="G47" s="3"/>
      <x:c r="H47" s="3" t="str">
        <x:v>Total elegido ARS</x:v>
      </x:c>
      <x:c r="I47" s="3"/>
      <x:c r="J47" s="3"/>
      <x:c r="K47" s="24" t="str">
        <x:f>IF(COUNTIF(K14:K43,"Completar")&gt;0,"Completar",IF(COUNT(K14:K43)=0,"",SUMIF(E14:E43,"ARS",K14:K43)))</x:f>
      </x:c>
      <x:c r="L47" s="3"/>
    </x:row>
    <x:row r="48" ht="27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7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</x:sheetData>
  <x:mergeCells>
    <x:mergeCell ref="A5:L5"/>
    <x:mergeCell ref="A10:L11"/>
    <x:mergeCell ref="H46:J46"/>
    <x:mergeCell ref="H47:J47"/>
  </x:mergeCells>
  <x:conditionalFormatting sqref="I14:L43">
    <x:cfRule type="containsText" dxfId="1" priority="1" operator="containsText" text="Completar"/>
  </x:conditionalFormatting>
  <x:dataValidations count="4">
    <x:dataValidation type="list" sqref="I14:I43" allowBlank="1" showErrorMessage="1" errorStyle="stop" errorTitle="Revisar el valor" error="Ingresar un valor dentro del rango permitido.">
      <x:formula1>"A,B"</x:formula1>
    </x:dataValidation>
    <x:dataValidation type="list" sqref="E14:E43" allowBlank="1" showErrorMessage="1" errorStyle="stop" errorTitle="Revisar el valor" error="Ingresar un valor dentro del rango permitido.">
      <x:formula1>"USD,ARS"</x:formula1>
    </x:dataValidation>
    <x:dataValidation type="decimal" operator="greaterThanOrEqual" sqref="D14:D43" allowBlank="1" showErrorMessage="1" errorStyle="stop" errorTitle="Revisar el valor" error="Ingresar un valor dentro del rango permitido.">
      <x:formula1>0</x:formula1>
    </x:dataValidation>
    <x:dataValidation type="decimal" operator="greaterThanOrEqual" sqref="F14:G43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8" orientation="landscape" fitToWidth="1" fitToHeight="0"/>
  <x:headerFooter>
    <x:oddFooter>&amp;L&amp;"UM Sans 2,Regular"&amp;9ULTIMA MILLA S.A. · Uso interno&amp;R&amp;P / &amp;N</x:oddFooter>
  </x:headerFooter>
  <x:drawing xmlns:r="http://schemas.openxmlformats.org/officeDocument/2006/relationships" r:id="R10688399b16b4d9b"/>
</x:worksheet>
</file>