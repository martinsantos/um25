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\ultima milla\LICITACIONES\PRESENTADAS 2024\PODER JUDICIAL MENDOZA\CABLEADO\"/>
    </mc:Choice>
  </mc:AlternateContent>
  <xr:revisionPtr revIDLastSave="0" documentId="13_ncr:1_{F645F7E7-E818-4B7A-84C9-A603E4639A0B}" xr6:coauthVersionLast="47" xr6:coauthVersionMax="47" xr10:uidLastSave="{00000000-0000-0000-0000-000000000000}"/>
  <bookViews>
    <workbookView xWindow="-108" yWindow="-108" windowWidth="23256" windowHeight="12456" tabRatio="884" activeTab="6" xr2:uid="{00000000-000D-0000-FFFF-FFFF00000000}" firstSheet="0"/>
  </bookViews>
  <sheets>
    <sheet name="0-GUIA" sheetId="21" r:id="rId1"/>
    <sheet name="1-PARAMETRIZACION" sheetId="19" r:id="rId2"/>
    <sheet name="3-CUADRO DE RESULTADO" sheetId="30" r:id="rId3"/>
    <sheet name="2-DIMENSIONAMIENTO" sheetId="18" r:id="rId4"/>
    <sheet name="6-OFERTA" sheetId="9" r:id="rId5"/>
    <sheet name="materiales" sheetId="44" r:id="rId6"/>
    <sheet name="PD" sheetId="29" r:id="rId7"/>
    <sheet name="Hoja1" sheetId="45" r:id="rId8"/>
  </sheets>
  <definedNames>
    <definedName name="Bonificacion">'1-PARAMETRIZACION'!$D$10</definedName>
    <definedName name="cable">'1-PARAMETRIZACION'!$D$5</definedName>
    <definedName name="CAJA">'1-PARAMETRIZACION'!$D$4</definedName>
    <definedName name="caño">'1-PARAMETRIZACION'!$D$6</definedName>
    <definedName name="CCABLE">'1-PARAMETRIZACION'!$A$3</definedName>
    <definedName name="cequipos">'1-PARAMETRIZACION'!$D$7</definedName>
    <definedName name="cotiza">'1-PARAMETRIZACION'!$D$8</definedName>
    <definedName name="cuadrilla">'1-PARAMETRIZACION'!$D$13</definedName>
    <definedName name="DH">'1-PARAMETRIZACION'!$D$2</definedName>
    <definedName name="HH">'1-PARAMETRIZACION'!$D$3</definedName>
    <definedName name="Imprevisto">'1-PARAMETRIZACION'!$D$9</definedName>
    <definedName name="km">'1-PARAMETRIZACION'!$D$18</definedName>
    <definedName name="mc_log">'1-PARAMETRIZACION'!$D$17</definedName>
    <definedName name="mc_mat">'1-PARAMETRIZACION'!$D$14</definedName>
    <definedName name="mc_ser">'1-PARAMETRIZACION'!$D$15</definedName>
    <definedName name="mc_sub">'1-PARAMETRIZACION'!$D$16</definedName>
    <definedName name="plazo">'1-PARAMETRIZACION'!$D$11</definedName>
    <definedName name="rhxcuadrilla">'1-PARAMETRIZACION'!$D$12</definedName>
    <definedName name="_xlnm.Print_Area" localSheetId="0">'0-GUIA'!$A$1:$C$8</definedName>
    <definedName name="_xlnm.Print_Area" localSheetId="1">'1-PARAMETRIZACION'!$A$1:$F$18</definedName>
    <definedName name="_xlnm.Print_Area" localSheetId="2">'3-CUADRO DE RESULTADO'!$A$1:$G$47</definedName>
    <definedName name="_xlnm.Print_Titles" localSheetId="2">'3-CUADRO DE RESULTADO'!$1:$1</definedName>
    <definedName name="_xlnm.Print_Area" localSheetId="4">'6-OFERTA'!$A$1:$E$3</definedName>
    <definedName name="_xlnm.Print_Area" localSheetId="5">'materiales'!$A$1:$D$9</definedName>
    <definedName name="_xlnm.Print_Area" localSheetId="6">'PD'!$A$1:$M$119</definedName>
    <definedName name="_xlnm.Print_Titles" localSheetId="6">'PD'!$17:$17</definedName>
    <definedName name="_xlnm.Print_Area" localSheetId="7">'Hoja1'!$C$29:$D$50</definedName>
    <definedName name="_xlnm.Print_Titles" localSheetId="7">'Hoja1'!$29:$29</definedName>
  </definedNames>
  <calcPr calcId="191029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<sst xmlns="http://schemas.openxmlformats.org/spreadsheetml/2006/main" count="171" uniqueCount="171">
  <si>
    <t>Hojas</t>
  </si>
  <si>
    <t>Contenidos</t>
  </si>
  <si>
    <t>Parámetros</t>
  </si>
  <si>
    <t>Descripción</t>
  </si>
  <si>
    <t>Variable</t>
  </si>
  <si>
    <t>VALORES (USD)</t>
  </si>
  <si>
    <t>DH: Días Hombre</t>
  </si>
  <si>
    <t>Costo directo por día de trabajo</t>
  </si>
  <si>
    <t>DH</t>
  </si>
  <si>
    <t>HH: Hora Hombre</t>
  </si>
  <si>
    <t>Costo directo por hora de trabajo</t>
  </si>
  <si>
    <t>HH</t>
  </si>
  <si>
    <t>Costo x Caja (un)</t>
  </si>
  <si>
    <t>Costo directo por instalación de caja</t>
  </si>
  <si>
    <t>caja</t>
  </si>
  <si>
    <t>Costo x Cableado (mts)</t>
  </si>
  <si>
    <t>Costo directo por tendido de cableado</t>
  </si>
  <si>
    <t>cable</t>
  </si>
  <si>
    <t>Costo x Canalización (mts)</t>
  </si>
  <si>
    <t>Costo directo por tendido de cañerías</t>
  </si>
  <si>
    <t>caño</t>
  </si>
  <si>
    <t>Costo por instalacion de equipos</t>
  </si>
  <si>
    <t>Costo directo por instalación de equipo</t>
  </si>
  <si>
    <t>cequipos</t>
  </si>
  <si>
    <t>Cotización dólar</t>
  </si>
  <si>
    <t>Valor de cotización dólar proyectada a 30 días</t>
  </si>
  <si>
    <t>Cotiza</t>
  </si>
  <si>
    <t>Imprevistos Generales</t>
  </si>
  <si>
    <t>Porcetaje de imprevistos generales para el proyecto</t>
  </si>
  <si>
    <t>Imprevisto</t>
  </si>
  <si>
    <t>Bonificaciones</t>
  </si>
  <si>
    <t>Porcentaje de bonificación sobre valores netos</t>
  </si>
  <si>
    <t>Bonificacion</t>
  </si>
  <si>
    <t>Plazo de proyecto en días</t>
  </si>
  <si>
    <t>Plazo promedio de ejecución de instalaciones en sitio s sistema</t>
  </si>
  <si>
    <t>Plazo</t>
  </si>
  <si>
    <t>Recursos x cuadrilla</t>
  </si>
  <si>
    <t>rhxcuadrilla</t>
  </si>
  <si>
    <t>Ctd de cuadrillas</t>
  </si>
  <si>
    <t>Cuadrillas x sistema o frente de trabajo</t>
  </si>
  <si>
    <t>cuadrilla</t>
  </si>
  <si>
    <t>Margen de contribución de materiales</t>
  </si>
  <si>
    <t>mc_mat</t>
  </si>
  <si>
    <t>Margen de contribución de servicios directos</t>
  </si>
  <si>
    <t>mc_ser</t>
  </si>
  <si>
    <t>Margen de contribución de servicios tercerizados</t>
  </si>
  <si>
    <t>mc_sub</t>
  </si>
  <si>
    <t>Margen de contribución de servicios logísticos</t>
  </si>
  <si>
    <t>mc_log</t>
  </si>
  <si>
    <t>km</t>
  </si>
  <si>
    <t>Item</t>
  </si>
  <si>
    <t>Cuenta</t>
  </si>
  <si>
    <t>Importe</t>
  </si>
  <si>
    <t>SubTotales</t>
  </si>
  <si>
    <t>Observaciones</t>
  </si>
  <si>
    <t>VENTAS</t>
  </si>
  <si>
    <t>Cableado Estructurado</t>
  </si>
  <si>
    <t>COSTOS DIRECTOS</t>
  </si>
  <si>
    <t>CONTRIBUCIÓN MARGINAL</t>
  </si>
  <si>
    <t>C. FINANCIEROS Y COMERCIALES</t>
  </si>
  <si>
    <t>Comisiones Comerciales</t>
  </si>
  <si>
    <t>Elaboración de oferta</t>
  </si>
  <si>
    <t>Costos financieros</t>
  </si>
  <si>
    <t>Sellado de OC</t>
  </si>
  <si>
    <t>Número renglón</t>
  </si>
  <si>
    <t>Código del ítem</t>
  </si>
  <si>
    <t>Cantidad</t>
  </si>
  <si>
    <t>Precio Total</t>
  </si>
  <si>
    <t>SERVICIO DE CABLEADO ESTRUCTURADO</t>
  </si>
  <si>
    <t xml:space="preserve">Marca </t>
  </si>
  <si>
    <t xml:space="preserve">Unidad </t>
  </si>
  <si>
    <t xml:space="preserve">Cantidad </t>
  </si>
  <si>
    <t>CABLEADO ESTRUCTURADO</t>
  </si>
  <si>
    <t xml:space="preserve">Faceplate </t>
  </si>
  <si>
    <t>Commscope</t>
  </si>
  <si>
    <t>UN</t>
  </si>
  <si>
    <t>Jack Cat.5E</t>
  </si>
  <si>
    <t>Patch cord 1 mts Cat.5E</t>
  </si>
  <si>
    <t>Patch cord 1.8 mts Cat.5E</t>
  </si>
  <si>
    <t xml:space="preserve">ELECTRICIDAD </t>
  </si>
  <si>
    <t>Disyuntor diferencial 2x25amp</t>
  </si>
  <si>
    <t>Schneider</t>
  </si>
  <si>
    <t>Termomagmeticas 2x16amp</t>
  </si>
  <si>
    <t>CE</t>
  </si>
  <si>
    <t>Rack</t>
  </si>
  <si>
    <t>Cableado</t>
  </si>
  <si>
    <t>Canalizaciones</t>
  </si>
  <si>
    <t>Terminales</t>
  </si>
  <si>
    <t>Equipos Activos</t>
  </si>
  <si>
    <t>Accesorios</t>
  </si>
  <si>
    <t>Consumibles</t>
  </si>
  <si>
    <t>Ingeniería</t>
  </si>
  <si>
    <t>Instalaciones y Montajes</t>
  </si>
  <si>
    <t>Tendidos</t>
  </si>
  <si>
    <t>Pruebas</t>
  </si>
  <si>
    <t>Certificaciones</t>
  </si>
  <si>
    <t>Puesta en Servicio</t>
  </si>
  <si>
    <t>Capacitaciones</t>
  </si>
  <si>
    <t>Servicios Logísticos</t>
  </si>
  <si>
    <t>Ítem</t>
  </si>
  <si>
    <t>Artículo</t>
  </si>
  <si>
    <t>Componentes del Sistema</t>
  </si>
  <si>
    <t>Marca</t>
  </si>
  <si>
    <t>Modelo</t>
  </si>
  <si>
    <t>Ctd</t>
  </si>
  <si>
    <t>Cable utp Cat.5e</t>
  </si>
  <si>
    <t>Bobina</t>
  </si>
  <si>
    <t>Cable utp Cat.6</t>
  </si>
  <si>
    <t>Bandeja Porta cable 100 mm</t>
  </si>
  <si>
    <t>mts</t>
  </si>
  <si>
    <t xml:space="preserve"> Cable canal 100x50 mm (Zoloda)</t>
  </si>
  <si>
    <t>Porta bastidor para cable canal 100x50mm (Zoloda)</t>
  </si>
  <si>
    <t>JACK RJ45 CAT5e</t>
  </si>
  <si>
    <t xml:space="preserve">PATCHCORD CAT5 A 1,0MT NEGRO </t>
  </si>
  <si>
    <t xml:space="preserve">PATCHCORD CAT5 A 2,0 MT NEGRO </t>
  </si>
  <si>
    <t>faceplate</t>
  </si>
  <si>
    <t xml:space="preserve">Cable Subterráneo tipo Proto libre de halógenos 3x4 mm </t>
  </si>
  <si>
    <t>Cable Subterráneo tipo Proto libre de halógenos 3x2,5 mm</t>
  </si>
  <si>
    <t>Interruptor Diferencial Tipo A Super Inmunizado 2x25A</t>
  </si>
  <si>
    <t>Interruptor Termomagnético Curva C 2x16A</t>
  </si>
  <si>
    <t xml:space="preserve">Tomacorriente Doble linea Roda, Covre o Kalop </t>
  </si>
  <si>
    <t xml:space="preserve">Bornera p/riel Din 4mm </t>
  </si>
  <si>
    <t>Caja de Aluminio para borneras eléctricas 150x150x50 mm</t>
  </si>
  <si>
    <t xml:space="preserve">Materiales Varios </t>
  </si>
  <si>
    <t>GB</t>
  </si>
  <si>
    <t>Diseño de red</t>
  </si>
  <si>
    <t>Documentación y planos</t>
  </si>
  <si>
    <t>Memoria destrictiva</t>
  </si>
  <si>
    <t xml:space="preserve">Gestion de compra </t>
  </si>
  <si>
    <t>armado de rack</t>
  </si>
  <si>
    <t>puesto doble</t>
  </si>
  <si>
    <t>puesto simple</t>
  </si>
  <si>
    <t>interack</t>
  </si>
  <si>
    <t>Certificación de puestos</t>
  </si>
  <si>
    <t>Verificación de conectividad</t>
  </si>
  <si>
    <t xml:space="preserve">Transferencia del sistema </t>
  </si>
  <si>
    <t>Garantía</t>
  </si>
  <si>
    <t>15.1</t>
  </si>
  <si>
    <t>Fletes y Seguros</t>
  </si>
  <si>
    <t>flete</t>
  </si>
  <si>
    <t>seguro</t>
  </si>
  <si>
    <t>15.2</t>
  </si>
  <si>
    <t>Documentación</t>
  </si>
  <si>
    <t>Resmas de papel A4</t>
  </si>
  <si>
    <t>Rollos para plotter</t>
  </si>
  <si>
    <t>Carpetas para ingeniería</t>
  </si>
  <si>
    <t>15.3</t>
  </si>
  <si>
    <t>Instalaciones en Sitio</t>
  </si>
  <si>
    <t>15.4</t>
  </si>
  <si>
    <t>Seguimiento de obras</t>
  </si>
  <si>
    <t>15.5</t>
  </si>
  <si>
    <t>Ejecución de obras</t>
  </si>
  <si>
    <t xml:space="preserve">Kilómetros </t>
  </si>
  <si>
    <t>Km</t>
  </si>
  <si>
    <t>estacionamiento</t>
  </si>
  <si>
    <t>Categoría</t>
  </si>
  <si>
    <t>Material</t>
  </si>
  <si>
    <t>Cable UTP Cat.5e</t>
  </si>
  <si>
    <t>Cable UTP Cat.6</t>
  </si>
  <si>
    <t>Bandeja Portacables 100 mm</t>
  </si>
  <si>
    <t>Cable Canal 100x50 mm (Zoloda)</t>
  </si>
  <si>
    <t>Porta Bastidor para Cable Canal 100x50mm (Zoloda)</t>
  </si>
  <si>
    <t>Patchcord CAT5 a 1,0m Negro</t>
  </si>
  <si>
    <t>Patchcord CAT5 a 2,0m Negro</t>
  </si>
  <si>
    <t>Faceplate</t>
  </si>
  <si>
    <t>Cable Subterráneo Tipo Proto Libre de Halógenos 3x4 mm</t>
  </si>
  <si>
    <t>Cable Subterráneo Tipo Proto Libre de Halógenos 3x2,5 mm</t>
  </si>
  <si>
    <t xml:space="preserve">Interruptor Termomagnético Curva C 2x16A            </t>
  </si>
  <si>
    <t xml:space="preserve">Tomacorriente Doble Línea Roda, Covre o Kalop       </t>
  </si>
  <si>
    <t xml:space="preserve">Bornera para Riel DIN 4mm                           </t>
  </si>
  <si>
    <t>Caja de Aluminio para Borneras Eléctricas 150x150x50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</si>
</sst>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 &quot;$&quot;\ * #,##0.00_ ;_ &quot;$&quot;\ * \-#,##0.00_ ;_ &quot;$&quot;\ * &quot;-&quot;??_ ;_ @_ "/>
    <numFmt numFmtId="165" formatCode="[$USD]\ #,##0.00;[$USD]\ \-#,##0.00"/>
    <numFmt numFmtId="166" formatCode="_ [$€-2]\ * #,##0.00_ ;_ [$€-2]\ * \-#,##0.00_ ;_ [$€-2]\ * &quot;-&quot;??_ "/>
    <numFmt numFmtId="167" formatCode="&quot;$&quot;\ #,##0.00"/>
    <numFmt numFmtId="168" formatCode="_-[$USD]\ * #,##0.00_-;\-[$USD]\ * #,##0.00_-;_-[$USD]\ * &quot;-&quot;??_-;_-@_-"/>
    <numFmt numFmtId="169" formatCode="0.0%"/>
    <numFmt numFmtId="170" formatCode="General_0"/>
    <numFmt numFmtId="171" formatCode="[$USD]\ #,##0.00_0;[$USD]\ \-#,##0.00_0"/>
    <numFmt numFmtId="172" formatCode="_ &quot;$&quot;\ * #,##0.00_ _0;_ &quot;$&quot;\ * \-#,##0.00_ _0;_ &quot;$&quot;\ * &quot;-&quot;??_ _0;_ @_ _0"/>
    <numFmt numFmtId="173" formatCode="0%_0"/>
    <numFmt numFmtId="174" formatCode="_-[$USD]\ * #,##0.00_-_0;\-[$USD]\ * #,##0.00_-_0;_-[$USD]\ * &quot;-&quot;??_-_0;_-@_-_0"/>
    <numFmt numFmtId="175" formatCode="0.00%_0"/>
    <numFmt numFmtId="176" formatCode="@_0"/>
  </numFmts>
  <fonts count="16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Helv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color rgb="FF000000"/>
      <name val="Roboto"/>
    </font>
    <font>
      <b/>
      <sz val="11"/>
      <name val="Arial"/>
      <family val="2"/>
    </font>
    <font>
      <b/>
      <i/>
      <sz val="10"/>
      <name val="Arial"/>
      <family val="2"/>
    </font>
    <font>
      <sz val="9"/>
      <name val="Chivo"/>
      <family val="2"/>
    </font>
    <font>
      <b/>
      <sz val="9"/>
      <name val="Chivo"/>
      <family val="2"/>
    </font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Helv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color rgb="FF000000"/>
      <name val="Roboto"/>
    </font>
    <font>
      <b/>
      <sz val="11"/>
      <name val="Arial"/>
      <family val="2"/>
    </font>
    <font>
      <b/>
      <i/>
      <sz val="10"/>
      <name val="Arial"/>
      <family val="2"/>
    </font>
    <font>
      <sz val="9"/>
      <name val="Chivo"/>
      <family val="2"/>
    </font>
    <font>
      <b/>
      <sz val="9"/>
      <name val="Chivo"/>
      <family val="2"/>
    </font>
    <font>
      <b/>
      <sz val="12"/>
      <color rgb="FF333333"/>
      <name val="UM Sans 2"/>
      <family val="2"/>
    </font>
    <font>
      <sz val="12"/>
      <color rgb="FF333333"/>
      <name val="UM Sans 2"/>
    </font>
    <font>
      <sz val="12"/>
      <color rgb="FF333333"/>
      <name val="UM Sans 2"/>
      <family val="2"/>
    </font>
    <font>
      <b/>
      <sz val="12"/>
      <color rgb="FFFFFFFF"/>
      <name val="UM Sans 2"/>
      <family val="2"/>
    </font>
    <font>
      <sz val="12"/>
      <color rgb="FF1A56C0"/>
      <name val="UM Sans 2"/>
    </font>
    <font>
      <b/>
      <sz val="12"/>
      <color rgb="FFFFFFFF"/>
      <name val="UM Sans 2"/>
    </font>
    <font>
      <b/>
      <i/>
      <sz val="12"/>
      <color rgb="FF333333"/>
      <name val="UM Sans 2"/>
      <family val="2"/>
    </font>
    <font>
      <b/>
      <sz val="12"/>
      <color rgb="FF1A56C0"/>
      <name val="UM Sans 2"/>
      <family val="2"/>
    </font>
    <font>
      <sz val="12"/>
      <color rgb="FF15803D"/>
      <name val="UM Sans 2"/>
      <family val="2"/>
    </font>
    <font>
      <sz val="12"/>
      <color rgb="FF1A56C0"/>
      <name val="UM Sans 2"/>
      <family val="2"/>
    </font>
    <font>
      <b/>
      <sz val="12"/>
      <color rgb="FF000000"/>
      <name val="UM Sans 2"/>
      <family val="2"/>
    </font>
    <font>
      <b/>
      <sz val="12"/>
      <color rgb="FF000000"/>
      <name val="UM Sans 2"/>
    </font>
    <font>
      <b/>
      <sz val="12"/>
      <color rgb="FF333333"/>
      <name val="UM Sans 2"/>
    </font>
    <font>
      <sz val="12"/>
      <name val="UM Sans 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Helv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color rgb="FF000000"/>
      <name val="Roboto"/>
    </font>
    <font>
      <b/>
      <sz val="11"/>
      <name val="Arial"/>
      <family val="2"/>
    </font>
    <font>
      <b/>
      <i/>
      <sz val="10"/>
      <name val="Arial"/>
      <family val="2"/>
    </font>
    <font>
      <sz val="9"/>
      <name val="Chivo"/>
      <family val="2"/>
    </font>
    <font>
      <b/>
      <sz val="9"/>
      <name val="Chivo"/>
      <family val="2"/>
    </font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Helv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color rgb="FF000000"/>
      <name val="Roboto"/>
    </font>
    <font>
      <b/>
      <sz val="11"/>
      <name val="Arial"/>
      <family val="2"/>
    </font>
    <font>
      <b/>
      <i/>
      <sz val="10"/>
      <name val="Arial"/>
      <family val="2"/>
    </font>
    <font>
      <sz val="9"/>
      <name val="Chivo"/>
      <family val="2"/>
    </font>
    <font>
      <b/>
      <sz val="9"/>
      <name val="Chivo"/>
      <family val="2"/>
    </font>
    <font>
      <b/>
      <sz val="12"/>
      <color rgb="FF333333"/>
      <name val="UM Sans 2"/>
      <family val="2"/>
    </font>
    <font>
      <sz val="12"/>
      <color rgb="FF333333"/>
      <name val="UM Sans 2"/>
    </font>
    <font>
      <sz val="12"/>
      <color rgb="FF333333"/>
      <name val="UM Sans 2"/>
      <family val="2"/>
    </font>
    <font>
      <b/>
      <sz val="12"/>
      <color rgb="FFFFFFFF"/>
      <name val="UM Sans 2"/>
      <family val="2"/>
    </font>
    <font>
      <sz val="12"/>
      <color rgb="FF1A56C0"/>
      <name val="UM Sans 2"/>
    </font>
    <font>
      <b/>
      <sz val="12"/>
      <color rgb="FFFFFFFF"/>
      <name val="UM Sans 2"/>
    </font>
    <font>
      <b/>
      <i/>
      <sz val="12"/>
      <color rgb="FF333333"/>
      <name val="UM Sans 2"/>
      <family val="2"/>
    </font>
    <font>
      <b/>
      <sz val="12"/>
      <color rgb="FF1A56C0"/>
      <name val="UM Sans 2"/>
      <family val="2"/>
    </font>
    <font>
      <sz val="12"/>
      <color rgb="FF15803D"/>
      <name val="UM Sans 2"/>
      <family val="2"/>
    </font>
    <font>
      <sz val="12"/>
      <color rgb="FF1A56C0"/>
      <name val="UM Sans 2"/>
      <family val="2"/>
    </font>
    <font>
      <b/>
      <sz val="12"/>
      <color rgb="FF000000"/>
      <name val="UM Sans 2"/>
      <family val="2"/>
    </font>
    <font>
      <b/>
      <sz val="12"/>
      <color rgb="FF000000"/>
      <name val="UM Sans 2"/>
    </font>
    <font>
      <b/>
      <sz val="12"/>
      <color rgb="FF333333"/>
      <name val="UM Sans 2"/>
    </font>
    <font>
      <b/>
      <sz val="9"/>
      <color rgb="FF000000"/>
      <name val="Chivo"/>
      <family val="2"/>
    </font>
    <font>
      <sz val="12"/>
      <name val="UM Sans 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Helv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color rgb="FF000000"/>
      <name val="Roboto"/>
    </font>
    <font>
      <b/>
      <sz val="11"/>
      <name val="Arial"/>
      <family val="2"/>
    </font>
    <font>
      <b/>
      <i/>
      <sz val="10"/>
      <name val="Arial"/>
      <family val="2"/>
    </font>
    <font>
      <sz val="9"/>
      <name val="Chivo"/>
      <family val="2"/>
    </font>
    <font>
      <b/>
      <sz val="9"/>
      <name val="Chivo"/>
      <family val="2"/>
    </font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Helv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color rgb="FF000000"/>
      <name val="Roboto"/>
    </font>
    <font>
      <b/>
      <sz val="11"/>
      <name val="Arial"/>
      <family val="2"/>
    </font>
    <font>
      <b/>
      <i/>
      <sz val="10"/>
      <name val="Arial"/>
      <family val="2"/>
    </font>
    <font>
      <sz val="9"/>
      <name val="Chivo"/>
      <family val="2"/>
    </font>
    <font>
      <b/>
      <sz val="9"/>
      <name val="Chivo"/>
      <family val="2"/>
    </font>
    <font>
      <b/>
      <sz val="12"/>
      <color rgb="FF333333"/>
      <name val="UM Sans 2"/>
      <family val="2"/>
    </font>
    <font>
      <sz val="12"/>
      <color rgb="FF333333"/>
      <name val="UM Sans 2"/>
    </font>
    <font>
      <sz val="12"/>
      <color rgb="FF333333"/>
      <name val="UM Sans 2"/>
      <family val="2"/>
    </font>
    <font>
      <b/>
      <sz val="12"/>
      <color rgb="FFFFFFFF"/>
      <name val="UM Sans 2"/>
      <family val="2"/>
    </font>
    <font>
      <sz val="12"/>
      <color rgb="FF1A56C0"/>
      <name val="UM Sans 2"/>
    </font>
    <font>
      <b/>
      <sz val="12"/>
      <color rgb="FFFFFFFF"/>
      <name val="UM Sans 2"/>
    </font>
    <font>
      <b/>
      <i/>
      <sz val="12"/>
      <color rgb="FF333333"/>
      <name val="UM Sans 2"/>
      <family val="2"/>
    </font>
    <font>
      <b/>
      <sz val="12"/>
      <color rgb="FF1A56C0"/>
      <name val="UM Sans 2"/>
      <family val="2"/>
    </font>
    <font>
      <sz val="12"/>
      <color rgb="FF15803D"/>
      <name val="UM Sans 2"/>
      <family val="2"/>
    </font>
    <font>
      <sz val="12"/>
      <color rgb="FF1A56C0"/>
      <name val="UM Sans 2"/>
      <family val="2"/>
    </font>
    <font>
      <b/>
      <sz val="12"/>
      <color rgb="FF000000"/>
      <name val="UM Sans 2"/>
      <family val="2"/>
    </font>
    <font>
      <b/>
      <sz val="12"/>
      <color rgb="FF000000"/>
      <name val="UM Sans 2"/>
    </font>
    <font>
      <b/>
      <sz val="12"/>
      <color rgb="FF333333"/>
      <name val="UM Sans 2"/>
    </font>
    <font>
      <sz val="12"/>
      <name val="UM Sans 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Helv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color rgb="FF000000"/>
      <name val="Roboto"/>
    </font>
    <font>
      <b/>
      <sz val="11"/>
      <name val="Arial"/>
      <family val="2"/>
    </font>
    <font>
      <b/>
      <i/>
      <sz val="10"/>
      <name val="Arial"/>
      <family val="2"/>
    </font>
    <font>
      <sz val="9"/>
      <name val="Chivo"/>
      <family val="2"/>
    </font>
    <font>
      <b/>
      <sz val="9"/>
      <name val="Chivo"/>
      <family val="2"/>
    </font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Helv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color rgb="FF000000"/>
      <name val="Roboto"/>
    </font>
    <font>
      <b/>
      <sz val="11"/>
      <name val="Arial"/>
      <family val="2"/>
    </font>
    <font>
      <b/>
      <i/>
      <sz val="10"/>
      <name val="Arial"/>
      <family val="2"/>
    </font>
    <font>
      <sz val="9"/>
      <name val="Chivo"/>
      <family val="2"/>
    </font>
    <font>
      <b/>
      <sz val="9"/>
      <name val="Chivo"/>
      <family val="2"/>
    </font>
    <font>
      <b/>
      <sz val="12"/>
      <color rgb="FF333333"/>
      <name val="UM Sans 2"/>
      <family val="2"/>
    </font>
    <font>
      <sz val="12"/>
      <color rgb="FF333333"/>
      <name val="UM Sans 2"/>
    </font>
    <font>
      <sz val="12"/>
      <color rgb="FF333333"/>
      <name val="UM Sans 2"/>
      <family val="2"/>
    </font>
    <font>
      <b/>
      <sz val="12"/>
      <color rgb="FFFFFFFF"/>
      <name val="UM Sans 2"/>
      <family val="2"/>
    </font>
    <font>
      <sz val="12"/>
      <color rgb="FF1A56C0"/>
      <name val="UM Sans 2"/>
    </font>
    <font>
      <b/>
      <sz val="12"/>
      <color rgb="FFFFFFFF"/>
      <name val="UM Sans 2"/>
    </font>
    <font>
      <b/>
      <i/>
      <sz val="12"/>
      <color rgb="FF333333"/>
      <name val="UM Sans 2"/>
      <family val="2"/>
    </font>
    <font>
      <b/>
      <sz val="12"/>
      <color rgb="FF1A56C0"/>
      <name val="UM Sans 2"/>
      <family val="2"/>
    </font>
    <font>
      <sz val="12"/>
      <color rgb="FF15803D"/>
      <name val="UM Sans 2"/>
      <family val="2"/>
    </font>
    <font>
      <sz val="12"/>
      <color rgb="FF1A56C0"/>
      <name val="UM Sans 2"/>
      <family val="2"/>
    </font>
    <font>
      <b/>
      <sz val="12"/>
      <color rgb="FF000000"/>
      <name val="UM Sans 2"/>
      <family val="2"/>
    </font>
    <font>
      <b/>
      <sz val="12"/>
      <color rgb="FF000000"/>
      <name val="UM Sans 2"/>
    </font>
    <font>
      <b/>
      <sz val="12"/>
      <color rgb="FF333333"/>
      <name val="UM Sans 2"/>
    </font>
    <font>
      <b/>
      <sz val="9"/>
      <color rgb="FF000000"/>
      <name val="Chivo"/>
      <family val="2"/>
    </font>
  </fonts>
  <fills count="1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theme="0" tint="-0.15"/>
      </patternFill>
    </fill>
    <fill>
      <patternFill patternType="solid">
        <fgColor theme="6" tint="0.39998"/>
      </patternFill>
    </fill>
    <fill>
      <patternFill patternType="solid">
        <fgColor theme="0" tint="-0.04999"/>
      </patternFill>
    </fill>
    <fill>
      <patternFill patternType="solid">
        <fgColor theme="0"/>
      </patternFill>
    </fill>
    <fill>
      <patternFill patternType="solid">
        <fgColor theme="0" tint="-0.34999"/>
      </patternFill>
    </fill>
    <fill>
      <patternFill patternType="solid">
        <fgColor rgb="FFFFFF00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000000"/>
      </patternFill>
    </fill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theme="0" tint="-0.15"/>
      </patternFill>
    </fill>
    <fill>
      <patternFill patternType="solid">
        <fgColor theme="6" tint="0.39998"/>
      </patternFill>
    </fill>
    <fill>
      <patternFill patternType="solid">
        <fgColor theme="0" tint="-0.04999"/>
      </patternFill>
    </fill>
    <fill>
      <patternFill patternType="solid">
        <fgColor theme="0"/>
      </patternFill>
    </fill>
    <fill>
      <patternFill patternType="solid">
        <fgColor theme="0" tint="-0.34999"/>
      </patternFill>
    </fill>
    <fill>
      <patternFill patternType="solid">
        <fgColor rgb="FFFFFF00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theme="0" tint="-0.15"/>
      </patternFill>
    </fill>
    <fill>
      <patternFill patternType="solid">
        <fgColor theme="6" tint="0.39998"/>
      </patternFill>
    </fill>
    <fill>
      <patternFill patternType="solid">
        <fgColor theme="0" tint="-0.04999"/>
      </patternFill>
    </fill>
    <fill>
      <patternFill patternType="solid">
        <fgColor theme="0"/>
      </patternFill>
    </fill>
    <fill>
      <patternFill patternType="solid">
        <fgColor theme="0" tint="-0.34999"/>
      </patternFill>
    </fill>
    <fill>
      <patternFill patternType="solid">
        <fgColor rgb="FFFFFF00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000000"/>
      </patternFill>
    </fill>
    <fill>
      <patternFill patternType="solid">
        <fgColor rgb="FFE7E7E7"/>
      </patternFill>
    </fill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theme="0" tint="-0.15"/>
      </patternFill>
    </fill>
    <fill>
      <patternFill patternType="solid">
        <fgColor theme="6" tint="0.39998"/>
      </patternFill>
    </fill>
    <fill>
      <patternFill patternType="solid">
        <fgColor theme="0" tint="-0.04999"/>
      </patternFill>
    </fill>
    <fill>
      <patternFill patternType="solid">
        <fgColor theme="0"/>
      </patternFill>
    </fill>
    <fill>
      <patternFill patternType="solid">
        <fgColor theme="0" tint="-0.34999"/>
      </patternFill>
    </fill>
    <fill>
      <patternFill patternType="solid">
        <fgColor rgb="FFFFFF00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theme="0" tint="-0.15"/>
      </patternFill>
    </fill>
    <fill>
      <patternFill patternType="solid">
        <fgColor theme="6" tint="0.39998"/>
      </patternFill>
    </fill>
    <fill>
      <patternFill patternType="solid">
        <fgColor theme="0" tint="-0.04999"/>
      </patternFill>
    </fill>
    <fill>
      <patternFill patternType="solid">
        <fgColor theme="0"/>
      </patternFill>
    </fill>
    <fill>
      <patternFill patternType="solid">
        <fgColor theme="0" tint="-0.34999"/>
      </patternFill>
    </fill>
    <fill>
      <patternFill patternType="solid">
        <fgColor rgb="FFFFFF00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000000"/>
      </patternFill>
    </fill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theme="0" tint="-0.15"/>
      </patternFill>
    </fill>
    <fill>
      <patternFill patternType="solid">
        <fgColor theme="6" tint="0.39998"/>
      </patternFill>
    </fill>
    <fill>
      <patternFill patternType="solid">
        <fgColor theme="0" tint="-0.04999"/>
      </patternFill>
    </fill>
    <fill>
      <patternFill patternType="solid">
        <fgColor theme="0"/>
      </patternFill>
    </fill>
    <fill>
      <patternFill patternType="solid">
        <fgColor theme="0" tint="-0.34999"/>
      </patternFill>
    </fill>
    <fill>
      <patternFill patternType="solid">
        <fgColor rgb="FFFFFF00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theme="0" tint="-0.15"/>
      </patternFill>
    </fill>
    <fill>
      <patternFill patternType="solid">
        <fgColor theme="6" tint="0.39998"/>
      </patternFill>
    </fill>
    <fill>
      <patternFill patternType="solid">
        <fgColor theme="0" tint="-0.04999"/>
      </patternFill>
    </fill>
    <fill>
      <patternFill patternType="solid">
        <fgColor theme="0"/>
      </patternFill>
    </fill>
    <fill>
      <patternFill patternType="solid">
        <fgColor theme="0" tint="-0.34999"/>
      </patternFill>
    </fill>
    <fill>
      <patternFill patternType="solid">
        <fgColor rgb="FFFFFF00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000000"/>
      </patternFill>
    </fill>
    <fill>
      <patternFill patternType="solid">
        <fgColor rgb="FFE7E7E7"/>
      </patternFill>
    </fill>
    <fill>
      <patternFill patternType="solid">
        <fgColor rgb="FFE7E7E7"/>
      </patternFill>
    </fill>
  </fills>
  <borders count="19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DC2626"/>
      </bottom>
      <diagonal/>
    </border>
    <border>
      <left/>
      <right/>
      <top/>
      <bottom style="thin">
        <color rgb="FFDDDDDD"/>
      </bottom>
      <diagonal/>
    </border>
    <border>
      <left/>
      <right/>
      <top/>
      <bottom style="medium">
        <color rgb="FFDC2626"/>
      </bottom>
      <diagonal/>
    </border>
    <border>
      <left style="thin">
        <color indexed="64"/>
      </left>
      <right style="thin">
        <color indexed="64"/>
      </right>
      <top/>
      <bottom style="thin">
        <color rgb="FFDDDDDD"/>
      </bottom>
      <diagonal/>
    </border>
    <border>
      <left style="thin">
        <color indexed="64"/>
      </left>
      <right/>
      <top style="thin">
        <color indexed="64"/>
      </top>
      <bottom style="thin">
        <color rgb="FFDDDDDD"/>
      </bottom>
      <diagonal/>
    </border>
    <border>
      <left/>
      <right/>
      <top style="thin">
        <color indexed="64"/>
      </top>
      <bottom style="thin">
        <color rgb="FFDDDDDD"/>
      </bottom>
      <diagonal/>
    </border>
    <border>
      <left/>
      <right style="thin">
        <color indexed="64"/>
      </right>
      <top style="thin">
        <color indexed="64"/>
      </top>
      <bottom style="thin">
        <color rgb="FFDDDDDD"/>
      </bottom>
      <diagonal/>
    </border>
    <border>
      <left style="thin">
        <color indexed="64"/>
      </left>
      <right/>
      <top/>
      <bottom style="thin">
        <color rgb="FFDDDDDD"/>
      </bottom>
      <diagonal/>
    </border>
    <border>
      <left/>
      <right style="thin">
        <color indexed="64"/>
      </right>
      <top/>
      <bottom style="thin">
        <color rgb="FFDDDDDD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rgb="FFDC2626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rgb="FFDC2626"/>
      </bottom>
      <diagonal/>
    </border>
    <border>
      <left style="thin">
        <color indexed="64"/>
      </left>
      <right style="thin">
        <color indexed="64"/>
      </right>
      <top/>
      <bottom style="thin">
        <color rgb="FFDC262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 style="thin">
        <color indexed="64"/>
      </left>
      <right/>
      <top/>
      <bottom style="thin">
        <color rgb="FFDC2626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DC2626"/>
      </bottom>
      <diagonal/>
    </border>
    <border>
      <left/>
      <right/>
      <top/>
      <bottom style="thin">
        <color rgb="FFDDDDDD"/>
      </bottom>
      <diagonal/>
    </border>
    <border>
      <left/>
      <right/>
      <top/>
      <bottom style="medium">
        <color rgb="FFDC2626"/>
      </bottom>
      <diagonal/>
    </border>
    <border>
      <left style="thin">
        <color indexed="64"/>
      </left>
      <right style="thin">
        <color indexed="64"/>
      </right>
      <top/>
      <bottom style="thin">
        <color rgb="FFDDDDDD"/>
      </bottom>
      <diagonal/>
    </border>
    <border>
      <left style="thin">
        <color indexed="64"/>
      </left>
      <right/>
      <top style="thin">
        <color indexed="64"/>
      </top>
      <bottom style="thin">
        <color rgb="FFDDDDDD"/>
      </bottom>
      <diagonal/>
    </border>
    <border>
      <left/>
      <right/>
      <top style="thin">
        <color indexed="64"/>
      </top>
      <bottom style="thin">
        <color rgb="FFDDDDDD"/>
      </bottom>
      <diagonal/>
    </border>
    <border>
      <left/>
      <right style="thin">
        <color indexed="64"/>
      </right>
      <top style="thin">
        <color indexed="64"/>
      </top>
      <bottom style="thin">
        <color rgb="FFDDDDDD"/>
      </bottom>
      <diagonal/>
    </border>
    <border>
      <left style="thin">
        <color indexed="64"/>
      </left>
      <right/>
      <top/>
      <bottom style="thin">
        <color rgb="FFDDDDDD"/>
      </bottom>
      <diagonal/>
    </border>
    <border>
      <left/>
      <right style="thin">
        <color indexed="64"/>
      </right>
      <top/>
      <bottom style="thin">
        <color rgb="FFDDDDDD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rgb="FFDC2626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rgb="FFDC2626"/>
      </bottom>
      <diagonal/>
    </border>
    <border>
      <left style="thin">
        <color indexed="64"/>
      </left>
      <right style="thin">
        <color indexed="64"/>
      </right>
      <top/>
      <bottom style="thin">
        <color rgb="FFDC262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 style="thin">
        <color indexed="64"/>
      </left>
      <right/>
      <top/>
      <bottom style="thin">
        <color rgb="FFDC2626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DC2626"/>
      </bottom>
      <diagonal/>
    </border>
    <border>
      <left/>
      <right/>
      <top/>
      <bottom style="thin">
        <color rgb="FFDDDDDD"/>
      </bottom>
      <diagonal/>
    </border>
    <border>
      <left/>
      <right/>
      <top/>
      <bottom style="medium">
        <color rgb="FFDC2626"/>
      </bottom>
      <diagonal/>
    </border>
    <border>
      <left style="thin">
        <color indexed="64"/>
      </left>
      <right style="thin">
        <color indexed="64"/>
      </right>
      <top/>
      <bottom style="thin">
        <color rgb="FFDDDDDD"/>
      </bottom>
      <diagonal/>
    </border>
    <border>
      <left style="thin">
        <color indexed="64"/>
      </left>
      <right/>
      <top style="thin">
        <color indexed="64"/>
      </top>
      <bottom style="thin">
        <color rgb="FFDDDDDD"/>
      </bottom>
      <diagonal/>
    </border>
    <border>
      <left/>
      <right/>
      <top style="thin">
        <color indexed="64"/>
      </top>
      <bottom style="thin">
        <color rgb="FFDDDDDD"/>
      </bottom>
      <diagonal/>
    </border>
    <border>
      <left/>
      <right style="thin">
        <color indexed="64"/>
      </right>
      <top style="thin">
        <color indexed="64"/>
      </top>
      <bottom style="thin">
        <color rgb="FFDDDDDD"/>
      </bottom>
      <diagonal/>
    </border>
    <border>
      <left style="thin">
        <color indexed="64"/>
      </left>
      <right/>
      <top/>
      <bottom style="thin">
        <color rgb="FFDDDDDD"/>
      </bottom>
      <diagonal/>
    </border>
    <border>
      <left/>
      <right style="thin">
        <color indexed="64"/>
      </right>
      <top/>
      <bottom style="thin">
        <color rgb="FFDDDDDD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rgb="FFDC2626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rgb="FFDC2626"/>
      </bottom>
      <diagonal/>
    </border>
    <border>
      <left style="thin">
        <color indexed="64"/>
      </left>
      <right style="thin">
        <color indexed="64"/>
      </right>
      <top/>
      <bottom style="thin">
        <color rgb="FFDC262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 style="thin">
        <color indexed="64"/>
      </left>
      <right/>
      <top/>
      <bottom style="thin">
        <color rgb="FFDC2626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DC2626"/>
      </bottom>
      <diagonal/>
    </border>
    <border>
      <left/>
      <right/>
      <top/>
      <bottom style="thin">
        <color rgb="FFDDDDDD"/>
      </bottom>
      <diagonal/>
    </border>
    <border>
      <left/>
      <right/>
      <top/>
      <bottom style="medium">
        <color rgb="FFDC2626"/>
      </bottom>
      <diagonal/>
    </border>
    <border>
      <left style="thin">
        <color indexed="64"/>
      </left>
      <right style="thin">
        <color indexed="64"/>
      </right>
      <top/>
      <bottom style="thin">
        <color rgb="FFDDDDDD"/>
      </bottom>
      <diagonal/>
    </border>
    <border>
      <left style="thin">
        <color indexed="64"/>
      </left>
      <right/>
      <top style="thin">
        <color indexed="64"/>
      </top>
      <bottom style="thin">
        <color rgb="FFDDDDDD"/>
      </bottom>
      <diagonal/>
    </border>
    <border>
      <left/>
      <right/>
      <top style="thin">
        <color indexed="64"/>
      </top>
      <bottom style="thin">
        <color rgb="FFDDDDDD"/>
      </bottom>
      <diagonal/>
    </border>
    <border>
      <left/>
      <right style="thin">
        <color indexed="64"/>
      </right>
      <top style="thin">
        <color indexed="64"/>
      </top>
      <bottom style="thin">
        <color rgb="FFDDDDDD"/>
      </bottom>
      <diagonal/>
    </border>
    <border>
      <left style="thin">
        <color indexed="64"/>
      </left>
      <right/>
      <top/>
      <bottom style="thin">
        <color rgb="FFDDDDDD"/>
      </bottom>
      <diagonal/>
    </border>
    <border>
      <left/>
      <right style="thin">
        <color indexed="64"/>
      </right>
      <top/>
      <bottom style="thin">
        <color rgb="FFDDDDDD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rgb="FFDC2626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rgb="FFDC2626"/>
      </bottom>
      <diagonal/>
    </border>
    <border>
      <left style="thin">
        <color indexed="64"/>
      </left>
      <right style="thin">
        <color indexed="64"/>
      </right>
      <top/>
      <bottom style="thin">
        <color rgb="FFDC262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 style="thin">
        <color indexed="64"/>
      </left>
      <right/>
      <top/>
      <bottom style="thin">
        <color rgb="FFDC2626"/>
      </bottom>
      <diagonal/>
    </border>
  </borders>
  <cellStyleXfs count="97">
    <xf numFmtId="165" fontId="0" fillId="0" borderId="0"/>
    <xf numFmtId="165" fontId="5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6" fillId="0" borderId="0"/>
    <xf numFmtId="166" fontId="3" fillId="0" borderId="0" applyFont="0" applyFill="0" applyBorder="0" applyAlignment="0" applyProtection="0"/>
    <xf numFmtId="0" fontId="2" fillId="0" borderId="0"/>
    <xf numFmtId="165" fontId="3" fillId="0" borderId="0"/>
    <xf numFmtId="0" fontId="3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14" fillId="12" borderId="16"/>
    <xf numFmtId="165" fontId="19" fillId="12" borderId="16"/>
    <xf numFmtId="164" fontId="17" fillId="12" borderId="16" applyFont="0" applyFill="0" applyBorder="0" applyAlignment="0" applyProtection="0"/>
    <xf numFmtId="9" fontId="17" fillId="12" borderId="16" applyFont="0" applyFill="0" applyBorder="0" applyAlignment="0" applyProtection="0"/>
    <xf numFmtId="0" fontId="17" fillId="12" borderId="16"/>
    <xf numFmtId="0" fontId="20" fillId="12" borderId="16"/>
    <xf numFmtId="166" fontId="17" fillId="12" borderId="16" applyFont="0" applyFill="0" applyBorder="0" applyAlignment="0" applyProtection="0"/>
    <xf numFmtId="0" fontId="16" fillId="12" borderId="16"/>
    <xf numFmtId="165" fontId="17" fillId="12" borderId="16"/>
    <xf numFmtId="0" fontId="17" fillId="12" borderId="16"/>
    <xf numFmtId="9" fontId="15" fillId="12" borderId="16" applyFont="0" applyFill="0" applyBorder="0" applyAlignment="0" applyProtection="0"/>
    <xf numFmtId="164" fontId="17" fillId="12" borderId="16" applyFont="0" applyFill="0" applyBorder="0" applyAlignment="0" applyProtection="0"/>
    <xf numFmtId="165" fontId="41" fillId="27" borderId="48"/>
    <xf numFmtId="165" fontId="46" fillId="27" borderId="48"/>
    <xf numFmtId="164" fontId="44" fillId="27" borderId="48" applyFont="0" applyFill="0" applyBorder="0" applyAlignment="0" applyProtection="0"/>
    <xf numFmtId="9" fontId="44" fillId="27" borderId="48" applyFont="0" applyFill="0" applyBorder="0" applyAlignment="0" applyProtection="0"/>
    <xf numFmtId="0" fontId="44" fillId="27" borderId="48"/>
    <xf numFmtId="0" fontId="47" fillId="27" borderId="48"/>
    <xf numFmtId="166" fontId="44" fillId="27" borderId="48" applyFont="0" applyFill="0" applyBorder="0" applyAlignment="0" applyProtection="0"/>
    <xf numFmtId="0" fontId="43" fillId="27" borderId="48"/>
    <xf numFmtId="165" fontId="44" fillId="27" borderId="48"/>
    <xf numFmtId="0" fontId="44" fillId="27" borderId="48"/>
    <xf numFmtId="9" fontId="42" fillId="27" borderId="48" applyFont="0" applyFill="0" applyBorder="0" applyAlignment="0" applyProtection="0"/>
    <xf numFmtId="164" fontId="44" fillId="27" borderId="48" applyFont="0" applyFill="0" applyBorder="0" applyAlignment="0" applyProtection="0"/>
    <xf numFmtId="165" fontId="55" fillId="39" borderId="64"/>
    <xf numFmtId="165" fontId="60" fillId="39" borderId="64"/>
    <xf numFmtId="164" fontId="58" fillId="39" borderId="64" applyFont="0" applyFill="0" applyBorder="0" applyAlignment="0" applyProtection="0"/>
    <xf numFmtId="9" fontId="58" fillId="39" borderId="64" applyFont="0" applyFill="0" applyBorder="0" applyAlignment="0" applyProtection="0"/>
    <xf numFmtId="0" fontId="58" fillId="39" borderId="64"/>
    <xf numFmtId="0" fontId="61" fillId="39" borderId="64"/>
    <xf numFmtId="166" fontId="58" fillId="39" borderId="64" applyFont="0" applyFill="0" applyBorder="0" applyAlignment="0" applyProtection="0"/>
    <xf numFmtId="0" fontId="57" fillId="39" borderId="64"/>
    <xf numFmtId="165" fontId="58" fillId="39" borderId="64"/>
    <xf numFmtId="0" fontId="58" fillId="39" borderId="64"/>
    <xf numFmtId="9" fontId="56" fillId="39" borderId="64" applyFont="0" applyFill="0" applyBorder="0" applyAlignment="0" applyProtection="0"/>
    <xf numFmtId="164" fontId="58" fillId="39" borderId="64" applyFont="0" applyFill="0" applyBorder="0" applyAlignment="0" applyProtection="0"/>
    <xf numFmtId="165" fontId="83" fillId="55" borderId="96"/>
    <xf numFmtId="165" fontId="88" fillId="55" borderId="96"/>
    <xf numFmtId="164" fontId="86" fillId="55" borderId="96" applyFont="0" applyFill="0" applyBorder="0" applyAlignment="0" applyProtection="0"/>
    <xf numFmtId="9" fontId="86" fillId="55" borderId="96" applyFont="0" applyFill="0" applyBorder="0" applyAlignment="0" applyProtection="0"/>
    <xf numFmtId="0" fontId="86" fillId="55" borderId="96"/>
    <xf numFmtId="0" fontId="89" fillId="55" borderId="96"/>
    <xf numFmtId="166" fontId="86" fillId="55" borderId="96" applyFont="0" applyFill="0" applyBorder="0" applyAlignment="0" applyProtection="0"/>
    <xf numFmtId="0" fontId="85" fillId="55" borderId="96"/>
    <xf numFmtId="165" fontId="86" fillId="55" borderId="96"/>
    <xf numFmtId="0" fontId="86" fillId="55" borderId="96"/>
    <xf numFmtId="9" fontId="84" fillId="55" borderId="96" applyFont="0" applyFill="0" applyBorder="0" applyAlignment="0" applyProtection="0"/>
    <xf numFmtId="164" fontId="86" fillId="55" borderId="96" applyFont="0" applyFill="0" applyBorder="0" applyAlignment="0" applyProtection="0"/>
    <xf numFmtId="165" fontId="97" fillId="67" borderId="112"/>
    <xf numFmtId="165" fontId="102" fillId="67" borderId="112"/>
    <xf numFmtId="164" fontId="100" fillId="67" borderId="112" applyFont="0" applyFill="0" applyBorder="0" applyAlignment="0" applyProtection="0"/>
    <xf numFmtId="9" fontId="100" fillId="67" borderId="112" applyFont="0" applyFill="0" applyBorder="0" applyAlignment="0" applyProtection="0"/>
    <xf numFmtId="0" fontId="100" fillId="67" borderId="112"/>
    <xf numFmtId="0" fontId="103" fillId="67" borderId="112"/>
    <xf numFmtId="166" fontId="100" fillId="67" borderId="112" applyFont="0" applyFill="0" applyBorder="0" applyAlignment="0" applyProtection="0"/>
    <xf numFmtId="0" fontId="99" fillId="67" borderId="112"/>
    <xf numFmtId="165" fontId="100" fillId="67" borderId="112"/>
    <xf numFmtId="0" fontId="100" fillId="67" borderId="112"/>
    <xf numFmtId="9" fontId="98" fillId="67" borderId="112" applyFont="0" applyFill="0" applyBorder="0" applyAlignment="0" applyProtection="0"/>
    <xf numFmtId="164" fontId="100" fillId="67" borderId="112" applyFont="0" applyFill="0" applyBorder="0" applyAlignment="0" applyProtection="0"/>
    <xf numFmtId="165" fontId="124" fillId="82" borderId="144"/>
    <xf numFmtId="165" fontId="129" fillId="82" borderId="144"/>
    <xf numFmtId="164" fontId="127" fillId="82" borderId="144" applyFont="0" applyFill="0" applyBorder="0" applyAlignment="0" applyProtection="0"/>
    <xf numFmtId="9" fontId="127" fillId="82" borderId="144" applyFont="0" applyFill="0" applyBorder="0" applyAlignment="0" applyProtection="0"/>
    <xf numFmtId="0" fontId="127" fillId="82" borderId="144"/>
    <xf numFmtId="0" fontId="130" fillId="82" borderId="144"/>
    <xf numFmtId="166" fontId="127" fillId="82" borderId="144" applyFont="0" applyFill="0" applyBorder="0" applyAlignment="0" applyProtection="0"/>
    <xf numFmtId="0" fontId="126" fillId="82" borderId="144"/>
    <xf numFmtId="165" fontId="127" fillId="82" borderId="144"/>
    <xf numFmtId="0" fontId="127" fillId="82" borderId="144"/>
    <xf numFmtId="9" fontId="125" fillId="82" borderId="144" applyFont="0" applyFill="0" applyBorder="0" applyAlignment="0" applyProtection="0"/>
    <xf numFmtId="164" fontId="127" fillId="82" borderId="144" applyFont="0" applyFill="0" applyBorder="0" applyAlignment="0" applyProtection="0"/>
    <xf numFmtId="165" fontId="138" fillId="94" borderId="160"/>
    <xf numFmtId="165" fontId="143" fillId="94" borderId="160"/>
    <xf numFmtId="164" fontId="141" fillId="94" borderId="160" applyFont="0" applyFill="0" applyBorder="0" applyAlignment="0" applyProtection="0"/>
    <xf numFmtId="9" fontId="141" fillId="94" borderId="160" applyFont="0" applyFill="0" applyBorder="0" applyAlignment="0" applyProtection="0"/>
    <xf numFmtId="0" fontId="141" fillId="94" borderId="160"/>
    <xf numFmtId="0" fontId="144" fillId="94" borderId="160"/>
    <xf numFmtId="166" fontId="141" fillId="94" borderId="160" applyFont="0" applyFill="0" applyBorder="0" applyAlignment="0" applyProtection="0"/>
    <xf numFmtId="0" fontId="140" fillId="94" borderId="160"/>
    <xf numFmtId="165" fontId="141" fillId="94" borderId="160"/>
    <xf numFmtId="0" fontId="141" fillId="94" borderId="160"/>
    <xf numFmtId="9" fontId="139" fillId="94" borderId="160" applyFont="0" applyFill="0" applyBorder="0" applyAlignment="0" applyProtection="0"/>
    <xf numFmtId="164" fontId="141" fillId="94" borderId="160" applyFont="0" applyFill="0" applyBorder="0" applyAlignment="0" applyProtection="0"/>
    <xf numFmtId="165" fontId="97" fillId="55" borderId="96"/>
  </cellStyleXfs>
  <cellXfs count="5542">
    <xf numFmtId="165" fontId="0" fillId="0" borderId="0" xfId="0"/>
    <xf numFmtId="165" fontId="0" fillId="0" borderId="0" xfId="0" applyAlignment="1">
      <alignment horizontal="center"/>
    </xf>
    <xf numFmtId="165" fontId="0" fillId="0" borderId="1" xfId="0" applyBorder="1"/>
    <xf numFmtId="165" fontId="4" fillId="0" borderId="1" xfId="0" applyFont="1" applyBorder="1"/>
    <xf numFmtId="165" fontId="3" fillId="0" borderId="1" xfId="0" applyFont="1" applyBorder="1" applyAlignment="1">
      <alignment wrapText="1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4" fillId="0" borderId="1" xfId="0" applyNumberFormat="1" applyFont="1" applyBorder="1" applyAlignment="1">
      <alignment horizontal="center"/>
    </xf>
    <xf numFmtId="165" fontId="3" fillId="0" borderId="1" xfId="0" applyFont="1" applyBorder="1"/>
    <xf numFmtId="165" fontId="0" fillId="0" borderId="1" xfId="0" applyBorder="1" applyAlignment="1">
      <alignment wrapText="1"/>
    </xf>
    <xf numFmtId="165" fontId="4" fillId="4" borderId="1" xfId="0" applyFont="1" applyFill="1" applyBorder="1" applyAlignment="1">
      <alignment wrapText="1"/>
    </xf>
    <xf numFmtId="165" fontId="4" fillId="4" borderId="1" xfId="0" applyFont="1" applyFill="1" applyBorder="1" applyAlignment="1">
      <alignment horizontal="center"/>
    </xf>
    <xf numFmtId="165" fontId="4" fillId="0" borderId="0" xfId="0" applyFont="1"/>
    <xf numFmtId="165" fontId="0" fillId="0" borderId="1" xfId="0" applyFont="1" applyFill="1" applyBorder="1" applyAlignment="1">
      <alignment wrapText="1"/>
    </xf>
    <xf numFmtId="165" fontId="4" fillId="4" borderId="1" xfId="0" applyFont="1" applyFill="1" applyBorder="1" applyAlignment="1">
      <alignment horizontal="center" wrapText="1"/>
    </xf>
    <xf numFmtId="165" fontId="3" fillId="0" borderId="1" xfId="0" applyFont="1" applyFill="1" applyBorder="1" applyAlignment="1">
      <alignment wrapText="1"/>
    </xf>
    <xf numFmtId="165" fontId="3" fillId="0" borderId="1" xfId="0" applyFont="1" applyBorder="1" applyAlignment="1">
      <alignment horizontal="center" vertical="center" wrapText="1"/>
    </xf>
    <xf numFmtId="165" fontId="3" fillId="0" borderId="1" xfId="0" applyFont="1" applyFill="1" applyBorder="1" applyAlignment="1">
      <alignment horizontal="center" vertical="center" wrapText="1"/>
    </xf>
    <xf numFmtId="0" fontId="3" fillId="0" borderId="1" xfId="8" applyNumberFormat="1" applyFont="1" applyFill="1" applyBorder="1" applyAlignment="1">
      <alignment horizontal="center"/>
    </xf>
    <xf numFmtId="165" fontId="0" fillId="5" borderId="1" xfId="0" applyFill="1" applyBorder="1" applyAlignment="1">
      <alignment horizontal="center"/>
    </xf>
    <xf numFmtId="164" fontId="0" fillId="5" borderId="1" xfId="2" applyFont="1" applyFill="1" applyBorder="1" applyAlignment="1">
      <alignment horizontal="center"/>
    </xf>
    <xf numFmtId="9" fontId="0" fillId="5" borderId="1" xfId="3" applyFont="1" applyFill="1" applyBorder="1" applyAlignment="1">
      <alignment horizontal="center"/>
    </xf>
    <xf numFmtId="0" fontId="0" fillId="5" borderId="1" xfId="0" applyNumberFormat="1" applyFill="1" applyBorder="1" applyAlignment="1">
      <alignment horizontal="center"/>
    </xf>
    <xf numFmtId="9" fontId="0" fillId="0" borderId="0" xfId="3" applyFont="1"/>
    <xf numFmtId="165" fontId="0" fillId="0" borderId="1" xfId="2" applyNumberFormat="1" applyFont="1" applyBorder="1"/>
    <xf numFmtId="9" fontId="0" fillId="2" borderId="1" xfId="3" applyFont="1" applyFill="1" applyBorder="1" applyAlignment="1">
      <alignment horizontal="center"/>
    </xf>
    <xf numFmtId="165" fontId="0" fillId="0" borderId="1" xfId="2" applyNumberFormat="1" applyFont="1" applyFill="1" applyBorder="1"/>
    <xf numFmtId="165" fontId="4" fillId="0" borderId="1" xfId="2" applyNumberFormat="1" applyFont="1" applyBorder="1"/>
    <xf numFmtId="165" fontId="3" fillId="0" borderId="1" xfId="8" applyFont="1" applyBorder="1" applyAlignment="1">
      <alignment horizontal="center" wrapText="1"/>
    </xf>
    <xf numFmtId="165" fontId="3" fillId="0" borderId="1" xfId="8" applyFont="1" applyBorder="1" applyAlignment="1">
      <alignment horizontal="center"/>
    </xf>
    <xf numFmtId="165" fontId="3" fillId="0" borderId="1" xfId="8" applyFont="1" applyBorder="1" applyAlignment="1">
      <alignment wrapText="1"/>
    </xf>
    <xf numFmtId="9" fontId="4" fillId="7" borderId="1" xfId="3" applyFont="1" applyFill="1" applyBorder="1" applyAlignment="1">
      <alignment horizontal="center"/>
    </xf>
    <xf numFmtId="9" fontId="8" fillId="0" borderId="5" xfId="3" applyFont="1" applyFill="1" applyBorder="1" applyAlignment="1">
      <alignment horizontal="center"/>
    </xf>
    <xf numFmtId="164" fontId="0" fillId="0" borderId="0" xfId="2" applyFont="1"/>
    <xf numFmtId="0" fontId="7" fillId="3" borderId="3" xfId="8" applyNumberFormat="1" applyFont="1" applyFill="1" applyBorder="1" applyAlignment="1">
      <alignment horizontal="center"/>
    </xf>
    <xf numFmtId="165" fontId="7" fillId="3" borderId="4" xfId="8" applyFont="1" applyFill="1" applyBorder="1" applyAlignment="1">
      <alignment horizontal="center"/>
    </xf>
    <xf numFmtId="165" fontId="8" fillId="3" borderId="4" xfId="8" applyFont="1" applyFill="1" applyBorder="1" applyAlignment="1">
      <alignment horizontal="left" wrapText="1"/>
    </xf>
    <xf numFmtId="165" fontId="8" fillId="3" borderId="4" xfId="8" applyFont="1" applyFill="1" applyBorder="1" applyAlignment="1">
      <alignment horizontal="center"/>
    </xf>
    <xf numFmtId="165" fontId="8" fillId="3" borderId="4" xfId="8" applyFont="1" applyFill="1" applyBorder="1" applyAlignment="1">
      <alignment horizontal="center" wrapText="1"/>
    </xf>
    <xf numFmtId="0" fontId="8" fillId="3" borderId="4" xfId="8" applyNumberFormat="1" applyFont="1" applyFill="1" applyBorder="1" applyAlignment="1">
      <alignment horizontal="center"/>
    </xf>
    <xf numFmtId="165" fontId="8" fillId="0" borderId="0" xfId="8" applyFont="1"/>
    <xf numFmtId="0" fontId="3" fillId="0" borderId="1" xfId="8" applyNumberFormat="1" applyFont="1" applyBorder="1" applyAlignment="1">
      <alignment horizontal="center" wrapText="1"/>
    </xf>
    <xf numFmtId="165" fontId="3" fillId="6" borderId="1" xfId="8" applyFont="1" applyFill="1" applyBorder="1" applyAlignment="1">
      <alignment wrapText="1"/>
    </xf>
    <xf numFmtId="165" fontId="8" fillId="0" borderId="5" xfId="8" applyFont="1" applyFill="1" applyBorder="1" applyAlignment="1">
      <alignment horizontal="left" wrapText="1"/>
    </xf>
    <xf numFmtId="165" fontId="8" fillId="0" borderId="5" xfId="8" applyFont="1" applyFill="1" applyBorder="1" applyAlignment="1">
      <alignment horizontal="center"/>
    </xf>
    <xf numFmtId="165" fontId="8" fillId="0" borderId="0" xfId="8" applyFont="1" applyFill="1"/>
    <xf numFmtId="0" fontId="4" fillId="7" borderId="1" xfId="8" applyNumberFormat="1" applyFont="1" applyFill="1" applyBorder="1" applyAlignment="1">
      <alignment horizontal="center"/>
    </xf>
    <xf numFmtId="165" fontId="4" fillId="7" borderId="1" xfId="8" applyFont="1" applyFill="1" applyBorder="1" applyAlignment="1">
      <alignment horizontal="center"/>
    </xf>
    <xf numFmtId="165" fontId="4" fillId="7" borderId="1" xfId="8" applyFont="1" applyFill="1" applyBorder="1" applyAlignment="1">
      <alignment horizontal="center" wrapText="1"/>
    </xf>
    <xf numFmtId="167" fontId="4" fillId="7" borderId="1" xfId="8" applyNumberFormat="1" applyFont="1" applyFill="1" applyBorder="1" applyAlignment="1">
      <alignment horizontal="center"/>
    </xf>
    <xf numFmtId="165" fontId="3" fillId="0" borderId="0" xfId="8"/>
    <xf numFmtId="165" fontId="4" fillId="0" borderId="5" xfId="8" applyFont="1" applyBorder="1" applyAlignment="1">
      <alignment horizontal="center"/>
    </xf>
    <xf numFmtId="165" fontId="3" fillId="0" borderId="1" xfId="8" applyFont="1" applyBorder="1" applyAlignment="1">
      <alignment horizontal="left" wrapText="1"/>
    </xf>
    <xf numFmtId="165" fontId="3" fillId="0" borderId="1" xfId="8" applyBorder="1" applyAlignment="1">
      <alignment horizontal="center"/>
    </xf>
    <xf numFmtId="0" fontId="3" fillId="0" borderId="1" xfId="8" applyNumberFormat="1" applyBorder="1" applyAlignment="1">
      <alignment horizontal="center"/>
    </xf>
    <xf numFmtId="165" fontId="3" fillId="0" borderId="1" xfId="8" applyFont="1" applyBorder="1" applyAlignment="1">
      <alignment horizontal="center" vertical="center"/>
    </xf>
    <xf numFmtId="0" fontId="3" fillId="6" borderId="1" xfId="8" applyNumberFormat="1" applyFont="1" applyFill="1" applyBorder="1" applyAlignment="1">
      <alignment horizontal="center"/>
    </xf>
    <xf numFmtId="165" fontId="3" fillId="0" borderId="0" xfId="8" applyNumberFormat="1"/>
    <xf numFmtId="165" fontId="3" fillId="0" borderId="1" xfId="8" applyFont="1" applyBorder="1"/>
    <xf numFmtId="165" fontId="3" fillId="0" borderId="5" xfId="8" applyBorder="1" applyAlignment="1">
      <alignment horizontal="center"/>
    </xf>
    <xf numFmtId="165" fontId="3" fillId="6" borderId="1" xfId="8" applyFont="1" applyFill="1" applyBorder="1" applyAlignment="1">
      <alignment horizontal="center"/>
    </xf>
    <xf numFmtId="165" fontId="4" fillId="6" borderId="5" xfId="8" applyFont="1" applyFill="1" applyBorder="1" applyAlignment="1">
      <alignment wrapText="1"/>
    </xf>
    <xf numFmtId="164" fontId="3" fillId="0" borderId="0" xfId="2"/>
    <xf numFmtId="165" fontId="3" fillId="0" borderId="2" xfId="8" applyFont="1" applyFill="1" applyBorder="1" applyAlignment="1">
      <alignment wrapText="1"/>
    </xf>
    <xf numFmtId="0" fontId="4" fillId="0" borderId="0" xfId="8" applyNumberFormat="1" applyFont="1" applyAlignment="1">
      <alignment horizontal="center"/>
    </xf>
    <xf numFmtId="165" fontId="3" fillId="0" borderId="0" xfId="8" applyAlignment="1">
      <alignment horizontal="center"/>
    </xf>
    <xf numFmtId="165" fontId="3" fillId="0" borderId="0" xfId="8" applyAlignment="1">
      <alignment wrapText="1"/>
    </xf>
    <xf numFmtId="165" fontId="3" fillId="0" borderId="0" xfId="8" applyAlignment="1">
      <alignment horizontal="center" wrapText="1"/>
    </xf>
    <xf numFmtId="0" fontId="3" fillId="0" borderId="0" xfId="8" applyNumberFormat="1" applyAlignment="1">
      <alignment horizontal="center"/>
    </xf>
    <xf numFmtId="167" fontId="3" fillId="0" borderId="0" xfId="8" applyNumberFormat="1"/>
    <xf numFmtId="0" fontId="4" fillId="6" borderId="5" xfId="8" applyNumberFormat="1" applyFont="1" applyFill="1" applyBorder="1" applyAlignment="1">
      <alignment horizontal="center"/>
    </xf>
    <xf numFmtId="0" fontId="3" fillId="6" borderId="5" xfId="8" applyNumberFormat="1" applyFont="1" applyFill="1" applyBorder="1" applyAlignment="1">
      <alignment horizontal="center"/>
    </xf>
    <xf numFmtId="165" fontId="3" fillId="6" borderId="1" xfId="8" applyFont="1" applyFill="1" applyBorder="1" applyAlignment="1">
      <alignment vertical="center" wrapText="1"/>
    </xf>
    <xf numFmtId="165" fontId="3" fillId="0" borderId="2" xfId="0" applyFont="1" applyBorder="1" applyAlignment="1">
      <alignment horizontal="center" wrapText="1"/>
    </xf>
    <xf numFmtId="165" fontId="0" fillId="6" borderId="1" xfId="2" applyNumberFormat="1" applyFont="1" applyFill="1" applyBorder="1"/>
    <xf numFmtId="164" fontId="8" fillId="0" borderId="0" xfId="2" applyFont="1"/>
    <xf numFmtId="165" fontId="3" fillId="0" borderId="2" xfId="8" applyFont="1" applyBorder="1" applyAlignment="1">
      <alignment horizontal="center" wrapText="1"/>
    </xf>
    <xf numFmtId="165" fontId="7" fillId="3" borderId="4" xfId="8" applyFont="1" applyFill="1" applyBorder="1" applyAlignment="1">
      <alignment wrapText="1"/>
    </xf>
    <xf numFmtId="164" fontId="8" fillId="3" borderId="4" xfId="2" applyFont="1" applyFill="1" applyBorder="1"/>
    <xf numFmtId="165" fontId="7" fillId="3" borderId="1" xfId="2" applyNumberFormat="1" applyFont="1" applyFill="1" applyBorder="1"/>
    <xf numFmtId="10" fontId="7" fillId="3" borderId="1" xfId="3" applyNumberFormat="1" applyFont="1" applyFill="1" applyBorder="1" applyAlignment="1">
      <alignment horizontal="center"/>
    </xf>
    <xf numFmtId="164" fontId="7" fillId="3" borderId="1" xfId="2" applyFont="1" applyFill="1" applyBorder="1"/>
    <xf numFmtId="164" fontId="7" fillId="0" borderId="6" xfId="2" applyFont="1" applyFill="1" applyBorder="1" applyAlignment="1">
      <alignment wrapText="1"/>
    </xf>
    <xf numFmtId="164" fontId="8" fillId="0" borderId="5" xfId="2" applyFont="1" applyFill="1" applyBorder="1" applyAlignment="1">
      <alignment horizontal="center"/>
    </xf>
    <xf numFmtId="165" fontId="8" fillId="0" borderId="1" xfId="2" applyNumberFormat="1" applyFont="1" applyFill="1" applyBorder="1"/>
    <xf numFmtId="9" fontId="8" fillId="0" borderId="1" xfId="3" applyFont="1" applyFill="1" applyBorder="1" applyAlignment="1">
      <alignment horizontal="center"/>
    </xf>
    <xf numFmtId="164" fontId="8" fillId="0" borderId="1" xfId="2" applyFont="1" applyFill="1" applyBorder="1"/>
    <xf numFmtId="165" fontId="9" fillId="0" borderId="0" xfId="8" applyFont="1"/>
    <xf numFmtId="2" fontId="3" fillId="0" borderId="1" xfId="8" applyNumberFormat="1" applyFont="1" applyBorder="1" applyAlignment="1">
      <alignment wrapText="1"/>
    </xf>
    <xf numFmtId="165" fontId="3" fillId="0" borderId="13" xfId="8" applyFont="1" applyBorder="1" applyAlignment="1">
      <alignment wrapText="1"/>
    </xf>
    <xf numFmtId="165" fontId="4" fillId="0" borderId="1" xfId="8" applyFont="1" applyBorder="1" applyAlignment="1">
      <alignment wrapText="1"/>
    </xf>
    <xf numFmtId="49" fontId="3" fillId="0" borderId="1" xfId="8" applyNumberFormat="1" applyBorder="1" applyAlignment="1">
      <alignment horizontal="center"/>
    </xf>
    <xf numFmtId="165" fontId="3" fillId="6" borderId="5" xfId="8" applyFill="1" applyBorder="1" applyAlignment="1">
      <alignment horizontal="center"/>
    </xf>
    <xf numFmtId="49" fontId="3" fillId="0" borderId="1" xfId="8" applyNumberFormat="1" applyBorder="1"/>
    <xf numFmtId="49" fontId="3" fillId="0" borderId="1" xfId="8" applyNumberFormat="1" applyFont="1" applyBorder="1" applyAlignment="1">
      <alignment horizontal="center"/>
    </xf>
    <xf numFmtId="165" fontId="3" fillId="6" borderId="1" xfId="2" applyNumberFormat="1" applyFont="1" applyFill="1" applyBorder="1"/>
    <xf numFmtId="165" fontId="4" fillId="0" borderId="6" xfId="8" applyFont="1" applyBorder="1" applyAlignment="1">
      <alignment wrapText="1"/>
    </xf>
    <xf numFmtId="0" fontId="4" fillId="0" borderId="1" xfId="8" applyNumberFormat="1" applyFont="1" applyBorder="1" applyAlignment="1">
      <alignment horizontal="center"/>
    </xf>
    <xf numFmtId="165" fontId="3" fillId="6" borderId="1" xfId="8" applyFont="1" applyFill="1" applyBorder="1" applyAlignment="1">
      <alignment horizontal="left" wrapText="1"/>
    </xf>
    <xf numFmtId="165" fontId="3" fillId="6" borderId="1" xfId="8" applyFont="1" applyFill="1" applyBorder="1" applyAlignment="1">
      <alignment horizontal="center" wrapText="1"/>
    </xf>
    <xf numFmtId="0" fontId="3" fillId="6" borderId="1" xfId="8" applyNumberFormat="1" applyFill="1" applyBorder="1" applyAlignment="1">
      <alignment horizontal="center"/>
    </xf>
    <xf numFmtId="165" fontId="3" fillId="6" borderId="6" xfId="8" applyFont="1" applyFill="1" applyBorder="1" applyAlignment="1">
      <alignment horizontal="left" wrapText="1"/>
    </xf>
    <xf numFmtId="165" fontId="3" fillId="0" borderId="1" xfId="2" applyNumberFormat="1" applyFont="1" applyBorder="1"/>
    <xf numFmtId="165" fontId="4" fillId="0" borderId="0" xfId="8" applyFont="1" applyAlignment="1">
      <alignment wrapText="1"/>
    </xf>
    <xf numFmtId="165" fontId="4" fillId="6" borderId="1" xfId="2" applyNumberFormat="1" applyFont="1" applyFill="1" applyBorder="1"/>
    <xf numFmtId="49" fontId="3" fillId="6" borderId="1" xfId="8" applyNumberFormat="1" applyFill="1" applyBorder="1" applyAlignment="1">
      <alignment horizontal="center"/>
    </xf>
    <xf numFmtId="49" fontId="3" fillId="0" borderId="1" xfId="8" applyNumberFormat="1" applyBorder="1" applyAlignment="1">
      <alignment horizontal="center" vertical="center"/>
    </xf>
    <xf numFmtId="165" fontId="3" fillId="0" borderId="1" xfId="8" applyFont="1" applyBorder="1" applyAlignment="1">
      <alignment horizontal="center" vertical="center" wrapText="1"/>
    </xf>
    <xf numFmtId="165" fontId="3" fillId="0" borderId="6" xfId="8" applyFont="1" applyBorder="1" applyAlignment="1">
      <alignment wrapText="1"/>
    </xf>
    <xf numFmtId="165" fontId="4" fillId="0" borderId="5" xfId="8" applyFont="1" applyBorder="1" applyAlignment="1">
      <alignment wrapText="1"/>
    </xf>
    <xf numFmtId="165" fontId="3" fillId="0" borderId="5" xfId="8" applyFont="1" applyBorder="1" applyAlignment="1">
      <alignment wrapText="1"/>
    </xf>
    <xf numFmtId="49" fontId="3" fillId="0" borderId="1" xfId="8" applyNumberFormat="1" applyFont="1" applyBorder="1"/>
    <xf numFmtId="165" fontId="4" fillId="6" borderId="1" xfId="8" applyFont="1" applyFill="1" applyBorder="1" applyAlignment="1">
      <alignment wrapText="1"/>
    </xf>
    <xf numFmtId="0" fontId="4" fillId="6" borderId="1" xfId="8" applyNumberFormat="1" applyFont="1" applyFill="1" applyBorder="1" applyAlignment="1">
      <alignment horizontal="center" wrapText="1"/>
    </xf>
    <xf numFmtId="0" fontId="4" fillId="0" borderId="1" xfId="8" applyNumberFormat="1" applyFont="1" applyBorder="1" applyAlignment="1">
      <alignment horizontal="center" wrapText="1"/>
    </xf>
    <xf numFmtId="165" fontId="3" fillId="0" borderId="1" xfId="8" applyBorder="1" applyAlignment="1">
      <alignment wrapText="1"/>
    </xf>
    <xf numFmtId="165" fontId="3" fillId="0" borderId="1" xfId="8" applyBorder="1" applyAlignment="1">
      <alignment horizontal="center" wrapText="1"/>
    </xf>
    <xf numFmtId="165" fontId="3" fillId="0" borderId="1" xfId="8" applyNumberFormat="1" applyBorder="1"/>
    <xf numFmtId="165" fontId="4" fillId="0" borderId="1" xfId="8" applyFont="1" applyBorder="1" applyAlignment="1">
      <alignment horizontal="left" wrapText="1"/>
    </xf>
    <xf numFmtId="164" fontId="4" fillId="0" borderId="0" xfId="2" applyFont="1"/>
    <xf numFmtId="9" fontId="4" fillId="2" borderId="1" xfId="3" applyFont="1" applyFill="1" applyBorder="1" applyAlignment="1">
      <alignment horizontal="center"/>
    </xf>
    <xf numFmtId="165" fontId="3" fillId="0" borderId="5" xfId="8" applyFont="1" applyBorder="1" applyAlignment="1">
      <alignment horizontal="left"/>
    </xf>
    <xf numFmtId="165" fontId="3" fillId="6" borderId="1" xfId="8" applyFill="1" applyBorder="1" applyAlignment="1">
      <alignment horizontal="center"/>
    </xf>
    <xf numFmtId="0" fontId="0" fillId="0" borderId="0" xfId="0" applyNumberFormat="1"/>
    <xf numFmtId="165" fontId="0" fillId="0" borderId="1" xfId="0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4" fillId="5" borderId="1" xfId="0" applyNumberFormat="1" applyFont="1" applyFill="1" applyBorder="1" applyAlignment="1">
      <alignment horizontal="center"/>
    </xf>
    <xf numFmtId="165" fontId="4" fillId="5" borderId="1" xfId="0" applyFont="1" applyFill="1" applyBorder="1" applyAlignment="1">
      <alignment horizontal="center"/>
    </xf>
    <xf numFmtId="168" fontId="4" fillId="5" borderId="1" xfId="0" applyNumberFormat="1" applyFont="1" applyFill="1" applyBorder="1" applyAlignment="1">
      <alignment horizontal="center"/>
    </xf>
    <xf numFmtId="165" fontId="4" fillId="5" borderId="1" xfId="0" applyFont="1" applyFill="1" applyBorder="1" applyAlignment="1">
      <alignment horizontal="center" wrapText="1"/>
    </xf>
    <xf numFmtId="0" fontId="4" fillId="9" borderId="1" xfId="0" applyNumberFormat="1" applyFont="1" applyFill="1" applyBorder="1" applyAlignment="1">
      <alignment horizontal="center"/>
    </xf>
    <xf numFmtId="165" fontId="4" fillId="9" borderId="1" xfId="0" applyFont="1" applyFill="1" applyBorder="1" applyAlignment="1">
      <alignment horizontal="left"/>
    </xf>
    <xf numFmtId="165" fontId="0" fillId="9" borderId="1" xfId="0" applyFill="1" applyBorder="1" applyAlignment="1">
      <alignment horizontal="center"/>
    </xf>
    <xf numFmtId="164" fontId="0" fillId="9" borderId="1" xfId="2" applyFont="1" applyFill="1" applyBorder="1"/>
    <xf numFmtId="168" fontId="4" fillId="9" borderId="1" xfId="2" applyNumberFormat="1" applyFont="1" applyFill="1" applyBorder="1"/>
    <xf numFmtId="164" fontId="10" fillId="10" borderId="1" xfId="2" applyFont="1" applyFill="1" applyBorder="1" applyAlignment="1">
      <alignment horizontal="right"/>
    </xf>
    <xf numFmtId="165" fontId="11" fillId="0" borderId="1" xfId="0" applyFont="1" applyBorder="1" applyAlignment="1">
      <alignment horizontal="right"/>
    </xf>
    <xf numFmtId="9" fontId="0" fillId="0" borderId="1" xfId="3" applyFont="1" applyBorder="1" applyAlignment="1">
      <alignment horizontal="center"/>
    </xf>
    <xf numFmtId="164" fontId="0" fillId="0" borderId="1" xfId="2" applyFont="1" applyBorder="1"/>
    <xf numFmtId="168" fontId="11" fillId="0" borderId="1" xfId="2" applyNumberFormat="1" applyFont="1" applyBorder="1" applyAlignment="1">
      <alignment horizontal="right"/>
    </xf>
    <xf numFmtId="164" fontId="11" fillId="0" borderId="1" xfId="2" applyFont="1" applyBorder="1" applyAlignment="1">
      <alignment horizontal="right"/>
    </xf>
    <xf numFmtId="165" fontId="3" fillId="0" borderId="1" xfId="0" applyFont="1" applyBorder="1" applyAlignment="1">
      <alignment horizontal="left"/>
    </xf>
    <xf numFmtId="10" fontId="0" fillId="0" borderId="1" xfId="3" applyNumberFormat="1" applyFont="1" applyBorder="1" applyAlignment="1">
      <alignment horizontal="center"/>
    </xf>
    <xf numFmtId="168" fontId="3" fillId="0" borderId="1" xfId="2" applyNumberFormat="1" applyFont="1" applyBorder="1" applyAlignment="1">
      <alignment horizontal="right"/>
    </xf>
    <xf numFmtId="164" fontId="3" fillId="0" borderId="1" xfId="2" applyFont="1" applyBorder="1" applyAlignment="1">
      <alignment horizontal="right" wrapText="1"/>
    </xf>
    <xf numFmtId="0" fontId="4" fillId="2" borderId="1" xfId="0" applyNumberFormat="1" applyFont="1" applyFill="1" applyBorder="1" applyAlignment="1">
      <alignment horizontal="center"/>
    </xf>
    <xf numFmtId="165" fontId="4" fillId="2" borderId="1" xfId="0" applyFont="1" applyFill="1" applyBorder="1"/>
    <xf numFmtId="10" fontId="0" fillId="2" borderId="1" xfId="3" applyNumberFormat="1" applyFont="1" applyFill="1" applyBorder="1" applyAlignment="1">
      <alignment horizontal="center"/>
    </xf>
    <xf numFmtId="10" fontId="4" fillId="2" borderId="1" xfId="3" applyNumberFormat="1" applyFont="1" applyFill="1" applyBorder="1" applyAlignment="1">
      <alignment horizontal="center"/>
    </xf>
    <xf numFmtId="168" fontId="4" fillId="2" borderId="1" xfId="2" applyNumberFormat="1" applyFont="1" applyFill="1" applyBorder="1"/>
    <xf numFmtId="164" fontId="4" fillId="2" borderId="1" xfId="0" applyNumberFormat="1" applyFont="1" applyFill="1" applyBorder="1" applyAlignment="1">
      <alignment wrapText="1"/>
    </xf>
    <xf numFmtId="10" fontId="0" fillId="0" borderId="1" xfId="3" applyNumberFormat="1" applyFont="1" applyBorder="1"/>
    <xf numFmtId="168" fontId="3" fillId="6" borderId="1" xfId="2" applyNumberFormat="1" applyFont="1" applyFill="1" applyBorder="1" applyAlignment="1">
      <alignment horizontal="right"/>
    </xf>
    <xf numFmtId="164" fontId="0" fillId="0" borderId="1" xfId="2" applyFont="1" applyBorder="1" applyAlignment="1">
      <alignment wrapText="1"/>
    </xf>
    <xf numFmtId="0" fontId="4" fillId="11" borderId="1" xfId="0" applyNumberFormat="1" applyFont="1" applyFill="1" applyBorder="1" applyAlignment="1">
      <alignment horizontal="center"/>
    </xf>
    <xf numFmtId="165" fontId="4" fillId="11" borderId="1" xfId="0" applyFont="1" applyFill="1" applyBorder="1"/>
    <xf numFmtId="9" fontId="4" fillId="11" borderId="1" xfId="3" applyFont="1" applyFill="1" applyBorder="1" applyAlignment="1">
      <alignment horizontal="center"/>
    </xf>
    <xf numFmtId="169" fontId="4" fillId="11" borderId="1" xfId="3" applyNumberFormat="1" applyFont="1" applyFill="1" applyBorder="1" applyAlignment="1">
      <alignment horizontal="center"/>
    </xf>
    <xf numFmtId="168" fontId="4" fillId="11" borderId="1" xfId="2" applyNumberFormat="1" applyFont="1" applyFill="1" applyBorder="1"/>
    <xf numFmtId="164" fontId="4" fillId="11" borderId="1" xfId="0" applyNumberFormat="1" applyFont="1" applyFill="1" applyBorder="1" applyAlignment="1">
      <alignment wrapText="1"/>
    </xf>
    <xf numFmtId="10" fontId="4" fillId="0" borderId="1" xfId="3" applyNumberFormat="1" applyFont="1" applyBorder="1"/>
    <xf numFmtId="168" fontId="4" fillId="0" borderId="1" xfId="2" applyNumberFormat="1" applyFont="1" applyBorder="1"/>
    <xf numFmtId="165" fontId="3" fillId="0" borderId="1" xfId="0" applyFont="1" applyBorder="1" applyAlignment="1">
      <alignment horizontal="right"/>
    </xf>
    <xf numFmtId="164" fontId="0" fillId="0" borderId="1" xfId="0" applyNumberFormat="1" applyBorder="1"/>
    <xf numFmtId="168" fontId="0" fillId="0" borderId="1" xfId="2" applyNumberFormat="1" applyFont="1" applyBorder="1"/>
    <xf numFmtId="168" fontId="4" fillId="11" borderId="1" xfId="0" applyNumberFormat="1" applyFont="1" applyFill="1" applyBorder="1"/>
    <xf numFmtId="168" fontId="0" fillId="0" borderId="1" xfId="0" applyNumberFormat="1" applyBorder="1"/>
    <xf numFmtId="165" fontId="0" fillId="0" borderId="1" xfId="0" applyBorder="1" applyAlignment="1">
      <alignment horizontal="right"/>
    </xf>
    <xf numFmtId="168" fontId="0" fillId="0" borderId="0" xfId="0" applyNumberFormat="1"/>
    <xf numFmtId="165" fontId="0" fillId="0" borderId="0" xfId="0" applyAlignment="1">
      <alignment wrapText="1"/>
    </xf>
    <xf numFmtId="0" fontId="3" fillId="8" borderId="1" xfId="8" applyNumberFormat="1" applyFont="1" applyFill="1" applyBorder="1" applyAlignment="1">
      <alignment horizontal="center"/>
    </xf>
    <xf numFmtId="165" fontId="3" fillId="8" borderId="2" xfId="8" applyFont="1" applyFill="1" applyBorder="1" applyAlignment="1">
      <alignment wrapText="1"/>
    </xf>
    <xf numFmtId="49" fontId="3" fillId="0" borderId="1" xfId="0" applyNumberFormat="1" applyFont="1" applyBorder="1" applyAlignment="1">
      <alignment horizontal="center"/>
    </xf>
    <xf numFmtId="165" fontId="3" fillId="6" borderId="1" xfId="0" applyFont="1" applyFill="1" applyBorder="1" applyAlignment="1">
      <alignment wrapText="1"/>
    </xf>
    <xf numFmtId="0" fontId="3" fillId="8" borderId="5" xfId="8" applyNumberFormat="1" applyFont="1" applyFill="1" applyBorder="1" applyAlignment="1">
      <alignment horizontal="center"/>
    </xf>
    <xf numFmtId="0" fontId="4" fillId="8" borderId="5" xfId="8" applyNumberFormat="1" applyFont="1" applyFill="1" applyBorder="1" applyAlignment="1">
      <alignment horizontal="center"/>
    </xf>
    <xf numFmtId="49" fontId="0" fillId="0" borderId="0" xfId="0" applyNumberFormat="1"/>
    <xf numFmtId="0" fontId="3" fillId="6" borderId="5" xfId="8" applyNumberFormat="1" applyFont="1" applyFill="1" applyBorder="1" applyAlignment="1">
      <alignment horizontal="center" vertical="center"/>
    </xf>
    <xf numFmtId="165" fontId="3" fillId="0" borderId="5" xfId="8" applyBorder="1" applyAlignment="1">
      <alignment horizontal="center" vertical="center"/>
    </xf>
    <xf numFmtId="165" fontId="3" fillId="0" borderId="1" xfId="8" applyFont="1" applyBorder="1" applyAlignment="1">
      <alignment vertical="center" wrapText="1"/>
    </xf>
    <xf numFmtId="165" fontId="3" fillId="0" borderId="1" xfId="8" applyBorder="1" applyAlignment="1">
      <alignment horizontal="center" vertical="center"/>
    </xf>
    <xf numFmtId="165" fontId="3" fillId="0" borderId="2" xfId="8" applyFont="1" applyBorder="1" applyAlignment="1">
      <alignment horizontal="center" vertical="center" wrapText="1"/>
    </xf>
    <xf numFmtId="165" fontId="0" fillId="0" borderId="1" xfId="2" applyNumberFormat="1" applyFont="1" applyBorder="1" applyAlignment="1">
      <alignment vertical="center"/>
    </xf>
    <xf numFmtId="9" fontId="0" fillId="2" borderId="1" xfId="3" applyFont="1" applyFill="1" applyBorder="1" applyAlignment="1">
      <alignment horizontal="center" vertical="center"/>
    </xf>
    <xf numFmtId="165" fontId="0" fillId="6" borderId="1" xfId="2" applyNumberFormat="1" applyFont="1" applyFill="1" applyBorder="1" applyAlignment="1">
      <alignment vertical="center"/>
    </xf>
    <xf numFmtId="165" fontId="3" fillId="0" borderId="0" xfId="8" applyAlignment="1">
      <alignment vertical="center"/>
    </xf>
    <xf numFmtId="0" fontId="3" fillId="8" borderId="5" xfId="8" applyNumberFormat="1" applyFont="1" applyFill="1" applyBorder="1" applyAlignment="1">
      <alignment horizontal="center" vertical="center"/>
    </xf>
    <xf numFmtId="165" fontId="3" fillId="6" borderId="5" xfId="8" applyFill="1" applyBorder="1" applyAlignment="1">
      <alignment horizontal="center" vertical="center"/>
    </xf>
    <xf numFmtId="0" fontId="3" fillId="6" borderId="1" xfId="8" applyNumberFormat="1" applyFont="1" applyFill="1" applyBorder="1" applyAlignment="1">
      <alignment horizontal="center" vertical="center"/>
    </xf>
    <xf numFmtId="0" fontId="4" fillId="6" borderId="5" xfId="8" applyNumberFormat="1" applyFont="1" applyFill="1" applyBorder="1" applyAlignment="1">
      <alignment horizontal="center" vertical="center"/>
    </xf>
    <xf numFmtId="165" fontId="4" fillId="0" borderId="5" xfId="8" applyFont="1" applyBorder="1" applyAlignment="1">
      <alignment horizontal="center" vertical="center"/>
    </xf>
    <xf numFmtId="49" fontId="3" fillId="0" borderId="1" xfId="8" applyNumberFormat="1" applyBorder="1" applyAlignment="1">
      <alignment vertical="center"/>
    </xf>
    <xf numFmtId="0" fontId="3" fillId="0" borderId="1" xfId="8" applyNumberFormat="1" applyBorder="1" applyAlignment="1">
      <alignment horizontal="center" vertical="center"/>
    </xf>
    <xf numFmtId="164" fontId="0" fillId="0" borderId="0" xfId="2" applyFont="1" applyAlignment="1">
      <alignment vertical="center"/>
    </xf>
    <xf numFmtId="0" fontId="12" fillId="0" borderId="0" xfId="4" applyFont="1"/>
    <xf numFmtId="164" fontId="12" fillId="0" borderId="0" xfId="2" applyFont="1"/>
    <xf numFmtId="0" fontId="12" fillId="0" borderId="0" xfId="4" applyFont="1" applyAlignment="1">
      <alignment horizontal="center" vertical="center"/>
    </xf>
    <xf numFmtId="168" fontId="12" fillId="0" borderId="0" xfId="4" applyNumberFormat="1" applyFont="1"/>
    <xf numFmtId="9" fontId="0" fillId="0" borderId="1" xfId="3" applyFont="1" applyBorder="1"/>
    <xf numFmtId="10" fontId="0" fillId="0" borderId="1" xfId="3" applyNumberFormat="1" applyFont="1" applyBorder="1" applyAlignment="1">
      <alignment horizontal="center" vertical="center"/>
    </xf>
    <xf numFmtId="10" fontId="0" fillId="0" borderId="0" xfId="3" applyNumberFormat="1" applyFont="1"/>
    <xf numFmtId="165" fontId="3" fillId="0" borderId="0" xfId="0" applyFont="1"/>
    <xf numFmtId="164" fontId="0" fillId="0" borderId="1" xfId="2" applyFont="1" applyBorder="1" applyAlignment="1">
      <alignment vertical="center" wrapText="1"/>
    </xf>
    <xf numFmtId="0" fontId="13" fillId="0" borderId="1" xfId="4" applyFont="1" applyBorder="1" applyAlignment="1">
      <alignment horizontal="center" vertical="center"/>
    </xf>
    <xf numFmtId="0" fontId="12" fillId="0" borderId="0" xfId="2" applyNumberFormat="1" applyFont="1" applyAlignment="1">
      <alignment horizontal="center" vertical="center"/>
    </xf>
    <xf numFmtId="0" fontId="13" fillId="0" borderId="1" xfId="4" applyNumberFormat="1" applyFont="1" applyBorder="1" applyAlignment="1">
      <alignment horizontal="center" vertical="center"/>
    </xf>
    <xf numFmtId="0" fontId="12" fillId="0" borderId="1" xfId="4" applyFont="1" applyBorder="1" applyAlignment="1">
      <alignment horizontal="center" vertical="center"/>
    </xf>
    <xf numFmtId="0" fontId="12" fillId="0" borderId="1" xfId="4" applyFont="1" applyBorder="1" applyAlignment="1">
      <alignment horizontal="left" vertical="center"/>
    </xf>
    <xf numFmtId="0" fontId="12" fillId="0" borderId="1" xfId="2" applyNumberFormat="1" applyFont="1" applyBorder="1" applyAlignment="1">
      <alignment horizontal="center" vertical="center"/>
    </xf>
    <xf numFmtId="0" fontId="13" fillId="0" borderId="1" xfId="4" applyFont="1" applyBorder="1" applyAlignment="1">
      <alignment horizontal="center" vertical="center" wrapText="1"/>
    </xf>
    <xf numFmtId="164" fontId="12" fillId="0" borderId="1" xfId="2" applyFont="1" applyBorder="1"/>
    <xf numFmtId="165" fontId="13" fillId="0" borderId="1" xfId="0" applyFont="1" applyBorder="1" applyAlignment="1">
      <alignment horizontal="center" vertical="center"/>
    </xf>
    <xf numFmtId="0" fontId="13" fillId="0" borderId="1" xfId="0" applyNumberFormat="1" applyFont="1" applyBorder="1" applyAlignment="1">
      <alignment horizontal="center" vertical="center"/>
    </xf>
    <xf numFmtId="165" fontId="12" fillId="0" borderId="1" xfId="0" applyFont="1" applyBorder="1" applyAlignment="1">
      <alignment horizontal="left" vertical="center"/>
    </xf>
    <xf numFmtId="165" fontId="12" fillId="0" borderId="1" xfId="0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/>
    </xf>
    <xf numFmtId="0" fontId="3" fillId="6" borderId="1" xfId="8" applyNumberFormat="1" applyFont="1" applyFill="1" applyBorder="1" applyAlignment="1">
      <alignment wrapText="1"/>
    </xf>
    <xf numFmtId="165" fontId="0" fillId="3" borderId="1" xfId="0" applyFill="1" applyBorder="1"/>
    <xf numFmtId="10" fontId="0" fillId="0" borderId="13" xfId="3" applyNumberFormat="1" applyFont="1" applyBorder="1" applyAlignment="1">
      <alignment horizontal="center" vertical="center"/>
    </xf>
    <xf numFmtId="10" fontId="0" fillId="0" borderId="14" xfId="3" applyNumberFormat="1" applyFont="1" applyBorder="1" applyAlignment="1">
      <alignment horizontal="center" vertical="center"/>
    </xf>
    <xf numFmtId="10" fontId="0" fillId="0" borderId="5" xfId="3" applyNumberFormat="1" applyFont="1" applyBorder="1" applyAlignment="1">
      <alignment horizontal="center" vertical="center"/>
    </xf>
    <xf numFmtId="164" fontId="0" fillId="0" borderId="13" xfId="2" applyFont="1" applyBorder="1" applyAlignment="1">
      <alignment horizontal="center" vertical="center" wrapText="1"/>
    </xf>
    <xf numFmtId="164" fontId="0" fillId="0" borderId="14" xfId="2" applyFont="1" applyBorder="1" applyAlignment="1">
      <alignment horizontal="center" vertical="center" wrapText="1"/>
    </xf>
    <xf numFmtId="164" fontId="0" fillId="0" borderId="5" xfId="2" applyFont="1" applyBorder="1" applyAlignment="1">
      <alignment horizontal="center" vertical="center" wrapText="1"/>
    </xf>
    <xf numFmtId="165" fontId="13" fillId="0" borderId="1" xfId="0" applyFont="1" applyBorder="1" applyAlignment="1">
      <alignment horizontal="center" vertical="center"/>
    </xf>
    <xf numFmtId="165" fontId="13" fillId="0" borderId="2" xfId="0" applyFont="1" applyBorder="1" applyAlignment="1">
      <alignment horizontal="center" vertical="center"/>
    </xf>
    <xf numFmtId="165" fontId="13" fillId="0" borderId="15" xfId="0" applyFont="1" applyBorder="1" applyAlignment="1">
      <alignment horizontal="center" vertical="center"/>
    </xf>
    <xf numFmtId="165" fontId="13" fillId="0" borderId="7" xfId="0" applyFont="1" applyBorder="1" applyAlignment="1">
      <alignment horizontal="center" vertical="center"/>
    </xf>
    <xf numFmtId="10" fontId="8" fillId="0" borderId="8" xfId="3" applyNumberFormat="1" applyFont="1" applyFill="1" applyBorder="1" applyAlignment="1">
      <alignment horizontal="center" vertical="center" wrapText="1"/>
    </xf>
    <xf numFmtId="10" fontId="0" fillId="0" borderId="9" xfId="3" applyNumberFormat="1" applyFont="1" applyBorder="1" applyAlignment="1">
      <alignment horizontal="center" vertical="center"/>
    </xf>
    <xf numFmtId="10" fontId="0" fillId="0" borderId="10" xfId="3" applyNumberFormat="1" applyFont="1" applyBorder="1" applyAlignment="1">
      <alignment horizontal="center" vertical="center"/>
    </xf>
    <xf numFmtId="10" fontId="0" fillId="0" borderId="11" xfId="3" applyNumberFormat="1" applyFont="1" applyBorder="1" applyAlignment="1">
      <alignment horizontal="center" vertical="center"/>
    </xf>
    <xf numFmtId="10" fontId="0" fillId="0" borderId="6" xfId="3" applyNumberFormat="1" applyFont="1" applyBorder="1" applyAlignment="1">
      <alignment horizontal="center" vertical="center"/>
    </xf>
    <xf numFmtId="10" fontId="0" fillId="0" borderId="12" xfId="3" applyNumberFormat="1" applyFont="1" applyBorder="1" applyAlignment="1">
      <alignment horizontal="center" vertical="center"/>
    </xf>
    <xf numFmtId="10" fontId="8" fillId="0" borderId="2" xfId="3" applyNumberFormat="1" applyFont="1" applyFill="1" applyBorder="1" applyAlignment="1">
      <alignment horizontal="center" vertical="center"/>
    </xf>
    <xf numFmtId="10" fontId="0" fillId="0" borderId="7" xfId="3" applyNumberFormat="1" applyFont="1" applyBorder="1" applyAlignment="1">
      <alignment horizontal="center" vertical="center"/>
    </xf>
    <xf numFmtId="165" fontId="14" fillId="12" borderId="16" xfId="12"/>
    <xf numFmtId="165" fontId="14" fillId="12" borderId="16" xfId="12" applyAlignment="1">
      <alignment horizontal="center"/>
    </xf>
    <xf numFmtId="165" fontId="14" fillId="12" borderId="17" xfId="12" applyBorder="1"/>
    <xf numFmtId="165" fontId="18" fillId="12" borderId="17" xfId="12" applyFont="1" applyBorder="1"/>
    <xf numFmtId="165" fontId="17" fillId="12" borderId="17" xfId="12" applyFont="1" applyBorder="1" applyAlignment="1">
      <alignment wrapText="1"/>
    </xf>
    <xf numFmtId="0" fontId="14" fillId="12" borderId="17" xfId="12" applyNumberFormat="1" applyBorder="1" applyAlignment="1">
      <alignment horizontal="center"/>
    </xf>
    <xf numFmtId="0" fontId="14" fillId="12" borderId="16" xfId="12" applyNumberFormat="1" applyAlignment="1">
      <alignment horizontal="center"/>
    </xf>
    <xf numFmtId="0" fontId="18" fillId="12" borderId="17" xfId="12" applyNumberFormat="1" applyFont="1" applyBorder="1" applyAlignment="1">
      <alignment horizontal="center"/>
    </xf>
    <xf numFmtId="165" fontId="17" fillId="12" borderId="17" xfId="12" applyFont="1" applyBorder="1"/>
    <xf numFmtId="165" fontId="14" fillId="12" borderId="17" xfId="12" applyBorder="1" applyAlignment="1">
      <alignment wrapText="1"/>
    </xf>
    <xf numFmtId="165" fontId="18" fillId="16" borderId="17" xfId="12" applyFont="1" applyFill="1" applyBorder="1" applyAlignment="1">
      <alignment wrapText="1"/>
    </xf>
    <xf numFmtId="165" fontId="18" fillId="16" borderId="17" xfId="12" applyFont="1" applyFill="1" applyBorder="1" applyAlignment="1">
      <alignment horizontal="center"/>
    </xf>
    <xf numFmtId="165" fontId="18" fillId="12" borderId="16" xfId="12" applyFont="1"/>
    <xf numFmtId="165" fontId="14" fillId="12" borderId="17" xfId="12" applyFont="1" applyFill="1" applyBorder="1" applyAlignment="1">
      <alignment wrapText="1"/>
    </xf>
    <xf numFmtId="165" fontId="18" fillId="16" borderId="17" xfId="12" applyFont="1" applyFill="1" applyBorder="1" applyAlignment="1">
      <alignment horizontal="center" wrapText="1"/>
    </xf>
    <xf numFmtId="165" fontId="17" fillId="12" borderId="17" xfId="12" applyFont="1" applyFill="1" applyBorder="1" applyAlignment="1">
      <alignment wrapText="1"/>
    </xf>
    <xf numFmtId="165" fontId="17" fillId="12" borderId="17" xfId="12" applyFont="1" applyBorder="1" applyAlignment="1">
      <alignment horizontal="center" vertical="center" wrapText="1"/>
    </xf>
    <xf numFmtId="165" fontId="17" fillId="12" borderId="17" xfId="12" applyFont="1" applyFill="1" applyBorder="1" applyAlignment="1">
      <alignment horizontal="center" vertical="center" wrapText="1"/>
    </xf>
    <xf numFmtId="0" fontId="17" fillId="12" borderId="17" xfId="20" applyNumberFormat="1" applyFont="1" applyFill="1" applyBorder="1" applyAlignment="1">
      <alignment horizontal="center"/>
    </xf>
    <xf numFmtId="165" fontId="14" fillId="17" borderId="17" xfId="12" applyFill="1" applyBorder="1" applyAlignment="1">
      <alignment horizontal="center"/>
    </xf>
    <xf numFmtId="164" fontId="14" fillId="17" borderId="17" xfId="14" applyFont="1" applyFill="1" applyBorder="1" applyAlignment="1">
      <alignment horizontal="center"/>
    </xf>
    <xf numFmtId="9" fontId="14" fillId="17" borderId="17" xfId="15" applyFont="1" applyFill="1" applyBorder="1" applyAlignment="1">
      <alignment horizontal="center"/>
    </xf>
    <xf numFmtId="0" fontId="14" fillId="17" borderId="17" xfId="12" applyNumberFormat="1" applyFill="1" applyBorder="1" applyAlignment="1">
      <alignment horizontal="center"/>
    </xf>
    <xf numFmtId="9" fontId="14" fillId="12" borderId="16" xfId="15" applyFont="1"/>
    <xf numFmtId="165" fontId="14" fillId="12" borderId="17" xfId="14" applyNumberFormat="1" applyFont="1" applyBorder="1"/>
    <xf numFmtId="9" fontId="14" fillId="14" borderId="17" xfId="15" applyFont="1" applyFill="1" applyBorder="1" applyAlignment="1">
      <alignment horizontal="center"/>
    </xf>
    <xf numFmtId="165" fontId="14" fillId="12" borderId="17" xfId="14" applyNumberFormat="1" applyFont="1" applyFill="1" applyBorder="1"/>
    <xf numFmtId="165" fontId="18" fillId="12" borderId="17" xfId="14" applyNumberFormat="1" applyFont="1" applyBorder="1"/>
    <xf numFmtId="165" fontId="17" fillId="12" borderId="17" xfId="20" applyFont="1" applyBorder="1" applyAlignment="1">
      <alignment horizontal="center" wrapText="1"/>
    </xf>
    <xf numFmtId="165" fontId="17" fillId="12" borderId="17" xfId="20" applyFont="1" applyBorder="1" applyAlignment="1">
      <alignment horizontal="center"/>
    </xf>
    <xf numFmtId="165" fontId="17" fillId="12" borderId="17" xfId="20" applyFont="1" applyBorder="1" applyAlignment="1">
      <alignment wrapText="1"/>
    </xf>
    <xf numFmtId="9" fontId="18" fillId="19" borderId="17" xfId="15" applyFont="1" applyFill="1" applyBorder="1" applyAlignment="1">
      <alignment horizontal="center"/>
    </xf>
    <xf numFmtId="9" fontId="22" fillId="12" borderId="21" xfId="15" applyFont="1" applyFill="1" applyBorder="1" applyAlignment="1">
      <alignment horizontal="center"/>
    </xf>
    <xf numFmtId="164" fontId="14" fillId="12" borderId="16" xfId="14" applyFont="1"/>
    <xf numFmtId="0" fontId="21" fillId="15" borderId="19" xfId="20" applyNumberFormat="1" applyFont="1" applyFill="1" applyBorder="1" applyAlignment="1">
      <alignment horizontal="center"/>
    </xf>
    <xf numFmtId="165" fontId="21" fillId="15" borderId="20" xfId="20" applyFont="1" applyFill="1" applyBorder="1" applyAlignment="1">
      <alignment horizontal="center"/>
    </xf>
    <xf numFmtId="165" fontId="22" fillId="15" borderId="20" xfId="20" applyFont="1" applyFill="1" applyBorder="1" applyAlignment="1">
      <alignment horizontal="left" wrapText="1"/>
    </xf>
    <xf numFmtId="165" fontId="22" fillId="15" borderId="20" xfId="20" applyFont="1" applyFill="1" applyBorder="1" applyAlignment="1">
      <alignment horizontal="center"/>
    </xf>
    <xf numFmtId="165" fontId="22" fillId="15" borderId="20" xfId="20" applyFont="1" applyFill="1" applyBorder="1" applyAlignment="1">
      <alignment horizontal="center" wrapText="1"/>
    </xf>
    <xf numFmtId="0" fontId="22" fillId="15" borderId="20" xfId="20" applyNumberFormat="1" applyFont="1" applyFill="1" applyBorder="1" applyAlignment="1">
      <alignment horizontal="center"/>
    </xf>
    <xf numFmtId="165" fontId="22" fillId="12" borderId="16" xfId="20" applyFont="1"/>
    <xf numFmtId="0" fontId="17" fillId="12" borderId="17" xfId="20" applyNumberFormat="1" applyFont="1" applyBorder="1" applyAlignment="1">
      <alignment horizontal="center" wrapText="1"/>
    </xf>
    <xf numFmtId="165" fontId="17" fillId="18" borderId="17" xfId="20" applyFont="1" applyFill="1" applyBorder="1" applyAlignment="1">
      <alignment wrapText="1"/>
    </xf>
    <xf numFmtId="165" fontId="22" fillId="12" borderId="21" xfId="20" applyFont="1" applyFill="1" applyBorder="1" applyAlignment="1">
      <alignment horizontal="left" wrapText="1"/>
    </xf>
    <xf numFmtId="165" fontId="22" fillId="12" borderId="21" xfId="20" applyFont="1" applyFill="1" applyBorder="1" applyAlignment="1">
      <alignment horizontal="center"/>
    </xf>
    <xf numFmtId="165" fontId="22" fillId="12" borderId="16" xfId="20" applyFont="1" applyFill="1"/>
    <xf numFmtId="0" fontId="18" fillId="19" borderId="17" xfId="20" applyNumberFormat="1" applyFont="1" applyFill="1" applyBorder="1" applyAlignment="1">
      <alignment horizontal="center"/>
    </xf>
    <xf numFmtId="165" fontId="18" fillId="19" borderId="17" xfId="20" applyFont="1" applyFill="1" applyBorder="1" applyAlignment="1">
      <alignment horizontal="center"/>
    </xf>
    <xf numFmtId="165" fontId="18" fillId="19" borderId="17" xfId="20" applyFont="1" applyFill="1" applyBorder="1" applyAlignment="1">
      <alignment horizontal="center" wrapText="1"/>
    </xf>
    <xf numFmtId="167" fontId="18" fillId="19" borderId="17" xfId="20" applyNumberFormat="1" applyFont="1" applyFill="1" applyBorder="1" applyAlignment="1">
      <alignment horizontal="center"/>
    </xf>
    <xf numFmtId="165" fontId="17" fillId="12" borderId="16" xfId="20"/>
    <xf numFmtId="165" fontId="18" fillId="12" borderId="21" xfId="20" applyFont="1" applyBorder="1" applyAlignment="1">
      <alignment horizontal="center"/>
    </xf>
    <xf numFmtId="165" fontId="17" fillId="12" borderId="17" xfId="20" applyFont="1" applyBorder="1" applyAlignment="1">
      <alignment horizontal="left" wrapText="1"/>
    </xf>
    <xf numFmtId="165" fontId="17" fillId="12" borderId="17" xfId="20" applyBorder="1" applyAlignment="1">
      <alignment horizontal="center"/>
    </xf>
    <xf numFmtId="0" fontId="17" fillId="12" borderId="17" xfId="20" applyNumberFormat="1" applyBorder="1" applyAlignment="1">
      <alignment horizontal="center"/>
    </xf>
    <xf numFmtId="165" fontId="17" fillId="12" borderId="17" xfId="20" applyFont="1" applyBorder="1" applyAlignment="1">
      <alignment horizontal="center" vertical="center"/>
    </xf>
    <xf numFmtId="0" fontId="17" fillId="18" borderId="17" xfId="20" applyNumberFormat="1" applyFont="1" applyFill="1" applyBorder="1" applyAlignment="1">
      <alignment horizontal="center"/>
    </xf>
    <xf numFmtId="165" fontId="17" fillId="12" borderId="16" xfId="20" applyNumberFormat="1"/>
    <xf numFmtId="165" fontId="17" fillId="12" borderId="17" xfId="20" applyFont="1" applyBorder="1"/>
    <xf numFmtId="165" fontId="17" fillId="12" borderId="21" xfId="20" applyBorder="1" applyAlignment="1">
      <alignment horizontal="center"/>
    </xf>
    <xf numFmtId="165" fontId="17" fillId="18" borderId="17" xfId="20" applyFont="1" applyFill="1" applyBorder="1" applyAlignment="1">
      <alignment horizontal="center"/>
    </xf>
    <xf numFmtId="165" fontId="18" fillId="18" borderId="21" xfId="20" applyFont="1" applyFill="1" applyBorder="1" applyAlignment="1">
      <alignment wrapText="1"/>
    </xf>
    <xf numFmtId="164" fontId="17" fillId="12" borderId="16" xfId="14"/>
    <xf numFmtId="165" fontId="17" fillId="12" borderId="18" xfId="20" applyFont="1" applyFill="1" applyBorder="1" applyAlignment="1">
      <alignment wrapText="1"/>
    </xf>
    <xf numFmtId="0" fontId="18" fillId="12" borderId="16" xfId="20" applyNumberFormat="1" applyFont="1" applyAlignment="1">
      <alignment horizontal="center"/>
    </xf>
    <xf numFmtId="165" fontId="17" fillId="12" borderId="16" xfId="20" applyAlignment="1">
      <alignment horizontal="center"/>
    </xf>
    <xf numFmtId="165" fontId="17" fillId="12" borderId="16" xfId="20" applyAlignment="1">
      <alignment wrapText="1"/>
    </xf>
    <xf numFmtId="165" fontId="17" fillId="12" borderId="16" xfId="20" applyAlignment="1">
      <alignment horizontal="center" wrapText="1"/>
    </xf>
    <xf numFmtId="0" fontId="17" fillId="12" borderId="16" xfId="20" applyNumberFormat="1" applyAlignment="1">
      <alignment horizontal="center"/>
    </xf>
    <xf numFmtId="167" fontId="17" fillId="12" borderId="16" xfId="20" applyNumberFormat="1"/>
    <xf numFmtId="0" fontId="18" fillId="18" borderId="21" xfId="20" applyNumberFormat="1" applyFont="1" applyFill="1" applyBorder="1" applyAlignment="1">
      <alignment horizontal="center"/>
    </xf>
    <xf numFmtId="0" fontId="17" fillId="18" borderId="21" xfId="20" applyNumberFormat="1" applyFont="1" applyFill="1" applyBorder="1" applyAlignment="1">
      <alignment horizontal="center"/>
    </xf>
    <xf numFmtId="165" fontId="17" fillId="18" borderId="17" xfId="20" applyFont="1" applyFill="1" applyBorder="1" applyAlignment="1">
      <alignment vertical="center" wrapText="1"/>
    </xf>
    <xf numFmtId="165" fontId="17" fillId="12" borderId="18" xfId="12" applyFont="1" applyBorder="1" applyAlignment="1">
      <alignment horizontal="center" wrapText="1"/>
    </xf>
    <xf numFmtId="165" fontId="14" fillId="18" borderId="17" xfId="14" applyNumberFormat="1" applyFont="1" applyFill="1" applyBorder="1"/>
    <xf numFmtId="164" fontId="22" fillId="12" borderId="16" xfId="14" applyFont="1"/>
    <xf numFmtId="165" fontId="17" fillId="12" borderId="18" xfId="20" applyFont="1" applyBorder="1" applyAlignment="1">
      <alignment horizontal="center" wrapText="1"/>
    </xf>
    <xf numFmtId="165" fontId="21" fillId="15" borderId="20" xfId="20" applyFont="1" applyFill="1" applyBorder="1" applyAlignment="1">
      <alignment wrapText="1"/>
    </xf>
    <xf numFmtId="164" fontId="22" fillId="15" borderId="20" xfId="14" applyFont="1" applyFill="1" applyBorder="1"/>
    <xf numFmtId="165" fontId="21" fillId="15" borderId="17" xfId="14" applyNumberFormat="1" applyFont="1" applyFill="1" applyBorder="1"/>
    <xf numFmtId="10" fontId="21" fillId="15" borderId="17" xfId="15" applyNumberFormat="1" applyFont="1" applyFill="1" applyBorder="1" applyAlignment="1">
      <alignment horizontal="center"/>
    </xf>
    <xf numFmtId="164" fontId="21" fillId="15" borderId="17" xfId="14" applyFont="1" applyFill="1" applyBorder="1"/>
    <xf numFmtId="164" fontId="21" fillId="12" borderId="22" xfId="14" applyFont="1" applyFill="1" applyBorder="1" applyAlignment="1">
      <alignment wrapText="1"/>
    </xf>
    <xf numFmtId="164" fontId="22" fillId="12" borderId="21" xfId="14" applyFont="1" applyFill="1" applyBorder="1" applyAlignment="1">
      <alignment horizontal="center"/>
    </xf>
    <xf numFmtId="165" fontId="22" fillId="12" borderId="17" xfId="14" applyNumberFormat="1" applyFont="1" applyFill="1" applyBorder="1"/>
    <xf numFmtId="9" fontId="22" fillId="12" borderId="17" xfId="15" applyFont="1" applyFill="1" applyBorder="1" applyAlignment="1">
      <alignment horizontal="center"/>
    </xf>
    <xf numFmtId="164" fontId="22" fillId="12" borderId="17" xfId="14" applyFont="1" applyFill="1" applyBorder="1"/>
    <xf numFmtId="165" fontId="23" fillId="12" borderId="16" xfId="20" applyFont="1"/>
    <xf numFmtId="2" fontId="17" fillId="12" borderId="17" xfId="20" applyNumberFormat="1" applyFont="1" applyBorder="1" applyAlignment="1">
      <alignment wrapText="1"/>
    </xf>
    <xf numFmtId="165" fontId="17" fillId="12" borderId="29" xfId="20" applyFont="1" applyBorder="1" applyAlignment="1">
      <alignment wrapText="1"/>
    </xf>
    <xf numFmtId="165" fontId="18" fillId="12" borderId="17" xfId="20" applyFont="1" applyBorder="1" applyAlignment="1">
      <alignment wrapText="1"/>
    </xf>
    <xf numFmtId="49" fontId="17" fillId="12" borderId="17" xfId="20" applyNumberFormat="1" applyBorder="1" applyAlignment="1">
      <alignment horizontal="center"/>
    </xf>
    <xf numFmtId="165" fontId="17" fillId="18" borderId="21" xfId="20" applyFill="1" applyBorder="1" applyAlignment="1">
      <alignment horizontal="center"/>
    </xf>
    <xf numFmtId="49" fontId="17" fillId="12" borderId="17" xfId="20" applyNumberFormat="1" applyBorder="1"/>
    <xf numFmtId="49" fontId="17" fillId="12" borderId="17" xfId="20" applyNumberFormat="1" applyFont="1" applyBorder="1" applyAlignment="1">
      <alignment horizontal="center"/>
    </xf>
    <xf numFmtId="165" fontId="17" fillId="18" borderId="17" xfId="14" applyNumberFormat="1" applyFont="1" applyFill="1" applyBorder="1"/>
    <xf numFmtId="165" fontId="18" fillId="12" borderId="22" xfId="20" applyFont="1" applyBorder="1" applyAlignment="1">
      <alignment wrapText="1"/>
    </xf>
    <xf numFmtId="0" fontId="18" fillId="12" borderId="17" xfId="20" applyNumberFormat="1" applyFont="1" applyBorder="1" applyAlignment="1">
      <alignment horizontal="center"/>
    </xf>
    <xf numFmtId="165" fontId="17" fillId="18" borderId="17" xfId="20" applyFont="1" applyFill="1" applyBorder="1" applyAlignment="1">
      <alignment horizontal="left" wrapText="1"/>
    </xf>
    <xf numFmtId="165" fontId="17" fillId="18" borderId="17" xfId="20" applyFont="1" applyFill="1" applyBorder="1" applyAlignment="1">
      <alignment horizontal="center" wrapText="1"/>
    </xf>
    <xf numFmtId="0" fontId="17" fillId="18" borderId="17" xfId="20" applyNumberFormat="1" applyFill="1" applyBorder="1" applyAlignment="1">
      <alignment horizontal="center"/>
    </xf>
    <xf numFmtId="165" fontId="17" fillId="18" borderId="22" xfId="20" applyFont="1" applyFill="1" applyBorder="1" applyAlignment="1">
      <alignment horizontal="left" wrapText="1"/>
    </xf>
    <xf numFmtId="165" fontId="17" fillId="12" borderId="17" xfId="14" applyNumberFormat="1" applyFont="1" applyBorder="1"/>
    <xf numFmtId="165" fontId="18" fillId="12" borderId="16" xfId="20" applyFont="1" applyAlignment="1">
      <alignment wrapText="1"/>
    </xf>
    <xf numFmtId="165" fontId="18" fillId="18" borderId="17" xfId="14" applyNumberFormat="1" applyFont="1" applyFill="1" applyBorder="1"/>
    <xf numFmtId="49" fontId="17" fillId="18" borderId="17" xfId="20" applyNumberFormat="1" applyFill="1" applyBorder="1" applyAlignment="1">
      <alignment horizontal="center"/>
    </xf>
    <xf numFmtId="49" fontId="17" fillId="12" borderId="17" xfId="20" applyNumberFormat="1" applyBorder="1" applyAlignment="1">
      <alignment horizontal="center" vertical="center"/>
    </xf>
    <xf numFmtId="165" fontId="17" fillId="12" borderId="17" xfId="20" applyFont="1" applyBorder="1" applyAlignment="1">
      <alignment horizontal="center" vertical="center" wrapText="1"/>
    </xf>
    <xf numFmtId="165" fontId="17" fillId="12" borderId="22" xfId="20" applyFont="1" applyBorder="1" applyAlignment="1">
      <alignment wrapText="1"/>
    </xf>
    <xf numFmtId="165" fontId="18" fillId="12" borderId="21" xfId="20" applyFont="1" applyBorder="1" applyAlignment="1">
      <alignment wrapText="1"/>
    </xf>
    <xf numFmtId="165" fontId="17" fillId="12" borderId="21" xfId="20" applyFont="1" applyBorder="1" applyAlignment="1">
      <alignment wrapText="1"/>
    </xf>
    <xf numFmtId="49" fontId="17" fillId="12" borderId="17" xfId="20" applyNumberFormat="1" applyFont="1" applyBorder="1"/>
    <xf numFmtId="165" fontId="18" fillId="18" borderId="17" xfId="20" applyFont="1" applyFill="1" applyBorder="1" applyAlignment="1">
      <alignment wrapText="1"/>
    </xf>
    <xf numFmtId="0" fontId="18" fillId="18" borderId="17" xfId="20" applyNumberFormat="1" applyFont="1" applyFill="1" applyBorder="1" applyAlignment="1">
      <alignment horizontal="center" wrapText="1"/>
    </xf>
    <xf numFmtId="0" fontId="18" fillId="12" borderId="17" xfId="20" applyNumberFormat="1" applyFont="1" applyBorder="1" applyAlignment="1">
      <alignment horizontal="center" wrapText="1"/>
    </xf>
    <xf numFmtId="165" fontId="17" fillId="12" borderId="17" xfId="20" applyBorder="1" applyAlignment="1">
      <alignment wrapText="1"/>
    </xf>
    <xf numFmtId="165" fontId="17" fillId="12" borderId="17" xfId="20" applyBorder="1" applyAlignment="1">
      <alignment horizontal="center" wrapText="1"/>
    </xf>
    <xf numFmtId="165" fontId="17" fillId="12" borderId="17" xfId="20" applyNumberFormat="1" applyBorder="1"/>
    <xf numFmtId="165" fontId="18" fillId="12" borderId="17" xfId="20" applyFont="1" applyBorder="1" applyAlignment="1">
      <alignment horizontal="left" wrapText="1"/>
    </xf>
    <xf numFmtId="164" fontId="18" fillId="12" borderId="16" xfId="14" applyFont="1"/>
    <xf numFmtId="9" fontId="18" fillId="14" borderId="17" xfId="15" applyFont="1" applyFill="1" applyBorder="1" applyAlignment="1">
      <alignment horizontal="center"/>
    </xf>
    <xf numFmtId="165" fontId="17" fillId="12" borderId="21" xfId="20" applyFont="1" applyBorder="1" applyAlignment="1">
      <alignment horizontal="left"/>
    </xf>
    <xf numFmtId="165" fontId="17" fillId="18" borderId="17" xfId="20" applyFill="1" applyBorder="1" applyAlignment="1">
      <alignment horizontal="center"/>
    </xf>
    <xf numFmtId="0" fontId="14" fillId="12" borderId="16" xfId="12" applyNumberFormat="1"/>
    <xf numFmtId="165" fontId="14" fillId="12" borderId="17" xfId="12" applyBorder="1" applyAlignment="1">
      <alignment horizontal="center"/>
    </xf>
    <xf numFmtId="0" fontId="17" fillId="12" borderId="17" xfId="12" applyNumberFormat="1" applyFont="1" applyFill="1" applyBorder="1" applyAlignment="1">
      <alignment horizontal="center"/>
    </xf>
    <xf numFmtId="0" fontId="18" fillId="17" borderId="17" xfId="12" applyNumberFormat="1" applyFont="1" applyFill="1" applyBorder="1" applyAlignment="1">
      <alignment horizontal="center"/>
    </xf>
    <xf numFmtId="165" fontId="18" fillId="17" borderId="17" xfId="12" applyFont="1" applyFill="1" applyBorder="1" applyAlignment="1">
      <alignment horizontal="center"/>
    </xf>
    <xf numFmtId="168" fontId="18" fillId="17" borderId="17" xfId="12" applyNumberFormat="1" applyFont="1" applyFill="1" applyBorder="1" applyAlignment="1">
      <alignment horizontal="center"/>
    </xf>
    <xf numFmtId="165" fontId="18" fillId="17" borderId="17" xfId="12" applyFont="1" applyFill="1" applyBorder="1" applyAlignment="1">
      <alignment horizontal="center" wrapText="1"/>
    </xf>
    <xf numFmtId="0" fontId="18" fillId="21" borderId="17" xfId="12" applyNumberFormat="1" applyFont="1" applyFill="1" applyBorder="1" applyAlignment="1">
      <alignment horizontal="center"/>
    </xf>
    <xf numFmtId="165" fontId="18" fillId="21" borderId="17" xfId="12" applyFont="1" applyFill="1" applyBorder="1" applyAlignment="1">
      <alignment horizontal="left"/>
    </xf>
    <xf numFmtId="165" fontId="14" fillId="21" borderId="17" xfId="12" applyFill="1" applyBorder="1" applyAlignment="1">
      <alignment horizontal="center"/>
    </xf>
    <xf numFmtId="164" fontId="14" fillId="21" borderId="17" xfId="14" applyFont="1" applyFill="1" applyBorder="1"/>
    <xf numFmtId="168" fontId="18" fillId="21" borderId="17" xfId="14" applyNumberFormat="1" applyFont="1" applyFill="1" applyBorder="1"/>
    <xf numFmtId="164" fontId="24" fillId="22" borderId="17" xfId="14" applyFont="1" applyFill="1" applyBorder="1" applyAlignment="1">
      <alignment horizontal="right"/>
    </xf>
    <xf numFmtId="165" fontId="25" fillId="12" borderId="17" xfId="12" applyFont="1" applyBorder="1" applyAlignment="1">
      <alignment horizontal="right"/>
    </xf>
    <xf numFmtId="9" fontId="14" fillId="12" borderId="17" xfId="15" applyFont="1" applyBorder="1" applyAlignment="1">
      <alignment horizontal="center"/>
    </xf>
    <xf numFmtId="164" fontId="14" fillId="12" borderId="17" xfId="14" applyFont="1" applyBorder="1"/>
    <xf numFmtId="168" fontId="25" fillId="12" borderId="17" xfId="14" applyNumberFormat="1" applyFont="1" applyBorder="1" applyAlignment="1">
      <alignment horizontal="right"/>
    </xf>
    <xf numFmtId="164" fontId="25" fillId="12" borderId="17" xfId="14" applyFont="1" applyBorder="1" applyAlignment="1">
      <alignment horizontal="right"/>
    </xf>
    <xf numFmtId="165" fontId="17" fillId="12" borderId="17" xfId="12" applyFont="1" applyBorder="1" applyAlignment="1">
      <alignment horizontal="left"/>
    </xf>
    <xf numFmtId="10" fontId="14" fillId="12" borderId="17" xfId="15" applyNumberFormat="1" applyFont="1" applyBorder="1" applyAlignment="1">
      <alignment horizontal="center"/>
    </xf>
    <xf numFmtId="168" fontId="17" fillId="12" borderId="17" xfId="14" applyNumberFormat="1" applyFont="1" applyBorder="1" applyAlignment="1">
      <alignment horizontal="right"/>
    </xf>
    <xf numFmtId="164" fontId="17" fillId="12" borderId="17" xfId="14" applyFont="1" applyBorder="1" applyAlignment="1">
      <alignment horizontal="right" wrapText="1"/>
    </xf>
    <xf numFmtId="0" fontId="18" fillId="14" borderId="17" xfId="12" applyNumberFormat="1" applyFont="1" applyFill="1" applyBorder="1" applyAlignment="1">
      <alignment horizontal="center"/>
    </xf>
    <xf numFmtId="165" fontId="18" fillId="14" borderId="17" xfId="12" applyFont="1" applyFill="1" applyBorder="1"/>
    <xf numFmtId="10" fontId="14" fillId="14" borderId="17" xfId="15" applyNumberFormat="1" applyFont="1" applyFill="1" applyBorder="1" applyAlignment="1">
      <alignment horizontal="center"/>
    </xf>
    <xf numFmtId="10" fontId="18" fillId="14" borderId="17" xfId="15" applyNumberFormat="1" applyFont="1" applyFill="1" applyBorder="1" applyAlignment="1">
      <alignment horizontal="center"/>
    </xf>
    <xf numFmtId="168" fontId="18" fillId="14" borderId="17" xfId="14" applyNumberFormat="1" applyFont="1" applyFill="1" applyBorder="1"/>
    <xf numFmtId="164" fontId="18" fillId="14" borderId="17" xfId="12" applyNumberFormat="1" applyFont="1" applyFill="1" applyBorder="1" applyAlignment="1">
      <alignment wrapText="1"/>
    </xf>
    <xf numFmtId="10" fontId="14" fillId="12" borderId="17" xfId="15" applyNumberFormat="1" applyFont="1" applyBorder="1"/>
    <xf numFmtId="168" fontId="17" fillId="18" borderId="17" xfId="14" applyNumberFormat="1" applyFont="1" applyFill="1" applyBorder="1" applyAlignment="1">
      <alignment horizontal="right"/>
    </xf>
    <xf numFmtId="164" fontId="14" fillId="12" borderId="17" xfId="14" applyFont="1" applyBorder="1" applyAlignment="1">
      <alignment wrapText="1"/>
    </xf>
    <xf numFmtId="0" fontId="18" fillId="23" borderId="17" xfId="12" applyNumberFormat="1" applyFont="1" applyFill="1" applyBorder="1" applyAlignment="1">
      <alignment horizontal="center"/>
    </xf>
    <xf numFmtId="165" fontId="18" fillId="23" borderId="17" xfId="12" applyFont="1" applyFill="1" applyBorder="1"/>
    <xf numFmtId="9" fontId="18" fillId="23" borderId="17" xfId="15" applyFont="1" applyFill="1" applyBorder="1" applyAlignment="1">
      <alignment horizontal="center"/>
    </xf>
    <xf numFmtId="169" fontId="18" fillId="23" borderId="17" xfId="15" applyNumberFormat="1" applyFont="1" applyFill="1" applyBorder="1" applyAlignment="1">
      <alignment horizontal="center"/>
    </xf>
    <xf numFmtId="168" fontId="18" fillId="23" borderId="17" xfId="14" applyNumberFormat="1" applyFont="1" applyFill="1" applyBorder="1"/>
    <xf numFmtId="164" fontId="18" fillId="23" borderId="17" xfId="12" applyNumberFormat="1" applyFont="1" applyFill="1" applyBorder="1" applyAlignment="1">
      <alignment wrapText="1"/>
    </xf>
    <xf numFmtId="10" fontId="18" fillId="12" borderId="17" xfId="15" applyNumberFormat="1" applyFont="1" applyBorder="1"/>
    <xf numFmtId="168" fontId="18" fillId="12" borderId="17" xfId="14" applyNumberFormat="1" applyFont="1" applyBorder="1"/>
    <xf numFmtId="165" fontId="17" fillId="12" borderId="17" xfId="12" applyFont="1" applyBorder="1" applyAlignment="1">
      <alignment horizontal="right"/>
    </xf>
    <xf numFmtId="164" fontId="14" fillId="12" borderId="17" xfId="12" applyNumberFormat="1" applyBorder="1"/>
    <xf numFmtId="168" fontId="14" fillId="12" borderId="17" xfId="14" applyNumberFormat="1" applyFont="1" applyBorder="1"/>
    <xf numFmtId="168" fontId="18" fillId="23" borderId="17" xfId="12" applyNumberFormat="1" applyFont="1" applyFill="1" applyBorder="1"/>
    <xf numFmtId="168" fontId="14" fillId="12" borderId="17" xfId="12" applyNumberFormat="1" applyBorder="1"/>
    <xf numFmtId="165" fontId="14" fillId="12" borderId="17" xfId="12" applyBorder="1" applyAlignment="1">
      <alignment horizontal="right"/>
    </xf>
    <xf numFmtId="168" fontId="14" fillId="12" borderId="16" xfId="12" applyNumberFormat="1"/>
    <xf numFmtId="165" fontId="14" fillId="12" borderId="16" xfId="12" applyAlignment="1">
      <alignment wrapText="1"/>
    </xf>
    <xf numFmtId="0" fontId="17" fillId="20" borderId="17" xfId="20" applyNumberFormat="1" applyFont="1" applyFill="1" applyBorder="1" applyAlignment="1">
      <alignment horizontal="center"/>
    </xf>
    <xf numFmtId="165" fontId="17" fillId="20" borderId="18" xfId="20" applyFont="1" applyFill="1" applyBorder="1" applyAlignment="1">
      <alignment wrapText="1"/>
    </xf>
    <xf numFmtId="49" fontId="17" fillId="12" borderId="17" xfId="12" applyNumberFormat="1" applyFont="1" applyBorder="1" applyAlignment="1">
      <alignment horizontal="center"/>
    </xf>
    <xf numFmtId="165" fontId="17" fillId="18" borderId="17" xfId="12" applyFont="1" applyFill="1" applyBorder="1" applyAlignment="1">
      <alignment wrapText="1"/>
    </xf>
    <xf numFmtId="0" fontId="17" fillId="20" borderId="21" xfId="20" applyNumberFormat="1" applyFont="1" applyFill="1" applyBorder="1" applyAlignment="1">
      <alignment horizontal="center"/>
    </xf>
    <xf numFmtId="0" fontId="18" fillId="20" borderId="21" xfId="20" applyNumberFormat="1" applyFont="1" applyFill="1" applyBorder="1" applyAlignment="1">
      <alignment horizontal="center"/>
    </xf>
    <xf numFmtId="49" fontId="14" fillId="12" borderId="16" xfId="12" applyNumberFormat="1"/>
    <xf numFmtId="0" fontId="17" fillId="18" borderId="21" xfId="20" applyNumberFormat="1" applyFont="1" applyFill="1" applyBorder="1" applyAlignment="1">
      <alignment horizontal="center" vertical="center"/>
    </xf>
    <xf numFmtId="165" fontId="17" fillId="12" borderId="21" xfId="20" applyBorder="1" applyAlignment="1">
      <alignment horizontal="center" vertical="center"/>
    </xf>
    <xf numFmtId="165" fontId="17" fillId="12" borderId="17" xfId="20" applyFont="1" applyBorder="1" applyAlignment="1">
      <alignment vertical="center" wrapText="1"/>
    </xf>
    <xf numFmtId="165" fontId="17" fillId="12" borderId="17" xfId="20" applyBorder="1" applyAlignment="1">
      <alignment horizontal="center" vertical="center"/>
    </xf>
    <xf numFmtId="165" fontId="17" fillId="12" borderId="18" xfId="20" applyFont="1" applyBorder="1" applyAlignment="1">
      <alignment horizontal="center" vertical="center" wrapText="1"/>
    </xf>
    <xf numFmtId="165" fontId="14" fillId="12" borderId="17" xfId="14" applyNumberFormat="1" applyFont="1" applyBorder="1" applyAlignment="1">
      <alignment vertical="center"/>
    </xf>
    <xf numFmtId="9" fontId="14" fillId="14" borderId="17" xfId="15" applyFont="1" applyFill="1" applyBorder="1" applyAlignment="1">
      <alignment horizontal="center" vertical="center"/>
    </xf>
    <xf numFmtId="165" fontId="14" fillId="18" borderId="17" xfId="14" applyNumberFormat="1" applyFont="1" applyFill="1" applyBorder="1" applyAlignment="1">
      <alignment vertical="center"/>
    </xf>
    <xf numFmtId="165" fontId="17" fillId="12" borderId="16" xfId="20" applyAlignment="1">
      <alignment vertical="center"/>
    </xf>
    <xf numFmtId="0" fontId="17" fillId="20" borderId="21" xfId="20" applyNumberFormat="1" applyFont="1" applyFill="1" applyBorder="1" applyAlignment="1">
      <alignment horizontal="center" vertical="center"/>
    </xf>
    <xf numFmtId="165" fontId="17" fillId="18" borderId="21" xfId="20" applyFill="1" applyBorder="1" applyAlignment="1">
      <alignment horizontal="center" vertical="center"/>
    </xf>
    <xf numFmtId="0" fontId="17" fillId="18" borderId="17" xfId="20" applyNumberFormat="1" applyFont="1" applyFill="1" applyBorder="1" applyAlignment="1">
      <alignment horizontal="center" vertical="center"/>
    </xf>
    <xf numFmtId="0" fontId="18" fillId="18" borderId="21" xfId="20" applyNumberFormat="1" applyFont="1" applyFill="1" applyBorder="1" applyAlignment="1">
      <alignment horizontal="center" vertical="center"/>
    </xf>
    <xf numFmtId="165" fontId="18" fillId="12" borderId="21" xfId="20" applyFont="1" applyBorder="1" applyAlignment="1">
      <alignment horizontal="center" vertical="center"/>
    </xf>
    <xf numFmtId="49" fontId="17" fillId="12" borderId="17" xfId="20" applyNumberFormat="1" applyBorder="1" applyAlignment="1">
      <alignment vertical="center"/>
    </xf>
    <xf numFmtId="0" fontId="17" fillId="12" borderId="17" xfId="20" applyNumberFormat="1" applyBorder="1" applyAlignment="1">
      <alignment horizontal="center" vertical="center"/>
    </xf>
    <xf numFmtId="164" fontId="14" fillId="12" borderId="16" xfId="14" applyFont="1" applyAlignment="1">
      <alignment vertical="center"/>
    </xf>
    <xf numFmtId="0" fontId="26" fillId="12" borderId="16" xfId="16" applyFont="1"/>
    <xf numFmtId="164" fontId="26" fillId="12" borderId="16" xfId="14" applyFont="1"/>
    <xf numFmtId="0" fontId="26" fillId="12" borderId="16" xfId="16" applyFont="1" applyAlignment="1">
      <alignment horizontal="center" vertical="center"/>
    </xf>
    <xf numFmtId="168" fontId="26" fillId="12" borderId="16" xfId="16" applyNumberFormat="1" applyFont="1"/>
    <xf numFmtId="9" fontId="14" fillId="12" borderId="17" xfId="15" applyFont="1" applyBorder="1"/>
    <xf numFmtId="10" fontId="14" fillId="12" borderId="17" xfId="15" applyNumberFormat="1" applyFont="1" applyBorder="1" applyAlignment="1">
      <alignment horizontal="center" vertical="center"/>
    </xf>
    <xf numFmtId="10" fontId="14" fillId="12" borderId="16" xfId="15" applyNumberFormat="1" applyFont="1"/>
    <xf numFmtId="165" fontId="17" fillId="12" borderId="16" xfId="12" applyFont="1"/>
    <xf numFmtId="164" fontId="14" fillId="12" borderId="17" xfId="14" applyFont="1" applyBorder="1" applyAlignment="1">
      <alignment vertical="center" wrapText="1"/>
    </xf>
    <xf numFmtId="0" fontId="27" fillId="12" borderId="17" xfId="16" applyFont="1" applyBorder="1" applyAlignment="1">
      <alignment horizontal="center" vertical="center"/>
    </xf>
    <xf numFmtId="0" fontId="26" fillId="12" borderId="16" xfId="14" applyNumberFormat="1" applyFont="1" applyAlignment="1">
      <alignment horizontal="center" vertical="center"/>
    </xf>
    <xf numFmtId="0" fontId="27" fillId="12" borderId="17" xfId="16" applyNumberFormat="1" applyFont="1" applyBorder="1" applyAlignment="1">
      <alignment horizontal="center" vertical="center"/>
    </xf>
    <xf numFmtId="0" fontId="26" fillId="12" borderId="17" xfId="16" applyFont="1" applyBorder="1" applyAlignment="1">
      <alignment horizontal="center" vertical="center"/>
    </xf>
    <xf numFmtId="0" fontId="26" fillId="12" borderId="17" xfId="16" applyFont="1" applyBorder="1" applyAlignment="1">
      <alignment horizontal="left" vertical="center"/>
    </xf>
    <xf numFmtId="0" fontId="26" fillId="12" borderId="17" xfId="14" applyNumberFormat="1" applyFont="1" applyBorder="1" applyAlignment="1">
      <alignment horizontal="center" vertical="center"/>
    </xf>
    <xf numFmtId="0" fontId="27" fillId="12" borderId="17" xfId="16" applyFont="1" applyBorder="1" applyAlignment="1">
      <alignment horizontal="center" vertical="center" wrapText="1"/>
    </xf>
    <xf numFmtId="164" fontId="26" fillId="12" borderId="17" xfId="14" applyFont="1" applyBorder="1"/>
    <xf numFmtId="165" fontId="27" fillId="12" borderId="17" xfId="12" applyFont="1" applyBorder="1" applyAlignment="1">
      <alignment horizontal="center" vertical="center"/>
    </xf>
    <xf numFmtId="0" fontId="27" fillId="12" borderId="17" xfId="12" applyNumberFormat="1" applyFont="1" applyBorder="1" applyAlignment="1">
      <alignment horizontal="center" vertical="center"/>
    </xf>
    <xf numFmtId="165" fontId="26" fillId="12" borderId="17" xfId="12" applyFont="1" applyBorder="1" applyAlignment="1">
      <alignment horizontal="left" vertical="center"/>
    </xf>
    <xf numFmtId="165" fontId="26" fillId="12" borderId="17" xfId="12" applyFont="1" applyBorder="1" applyAlignment="1">
      <alignment horizontal="center" vertical="center"/>
    </xf>
    <xf numFmtId="0" fontId="26" fillId="12" borderId="17" xfId="12" applyNumberFormat="1" applyFont="1" applyBorder="1" applyAlignment="1">
      <alignment horizontal="center" vertical="center"/>
    </xf>
    <xf numFmtId="0" fontId="17" fillId="18" borderId="17" xfId="20" applyNumberFormat="1" applyFont="1" applyFill="1" applyBorder="1" applyAlignment="1">
      <alignment wrapText="1"/>
    </xf>
    <xf numFmtId="165" fontId="14" fillId="15" borderId="17" xfId="12" applyFill="1" applyBorder="1"/>
    <xf numFmtId="10" fontId="14" fillId="12" borderId="29" xfId="15" applyNumberFormat="1" applyFont="1" applyBorder="1" applyAlignment="1">
      <alignment horizontal="center" vertical="center"/>
    </xf>
    <xf numFmtId="10" fontId="14" fillId="12" borderId="30" xfId="15" applyNumberFormat="1" applyFont="1" applyBorder="1" applyAlignment="1">
      <alignment horizontal="center" vertical="center"/>
    </xf>
    <xf numFmtId="10" fontId="14" fillId="12" borderId="21" xfId="15" applyNumberFormat="1" applyFont="1" applyBorder="1" applyAlignment="1">
      <alignment horizontal="center" vertical="center"/>
    </xf>
    <xf numFmtId="164" fontId="14" fillId="12" borderId="29" xfId="14" applyFont="1" applyBorder="1" applyAlignment="1">
      <alignment horizontal="center" vertical="center" wrapText="1"/>
    </xf>
    <xf numFmtId="164" fontId="14" fillId="12" borderId="30" xfId="14" applyFont="1" applyBorder="1" applyAlignment="1">
      <alignment horizontal="center" vertical="center" wrapText="1"/>
    </xf>
    <xf numFmtId="164" fontId="14" fillId="12" borderId="21" xfId="14" applyFont="1" applyBorder="1" applyAlignment="1">
      <alignment horizontal="center" vertical="center" wrapText="1"/>
    </xf>
    <xf numFmtId="165" fontId="27" fillId="12" borderId="17" xfId="12" applyFont="1" applyBorder="1" applyAlignment="1">
      <alignment horizontal="center" vertical="center"/>
    </xf>
    <xf numFmtId="165" fontId="27" fillId="12" borderId="18" xfId="12" applyFont="1" applyBorder="1" applyAlignment="1">
      <alignment horizontal="center" vertical="center"/>
    </xf>
    <xf numFmtId="165" fontId="27" fillId="12" borderId="31" xfId="12" applyFont="1" applyBorder="1" applyAlignment="1">
      <alignment horizontal="center" vertical="center"/>
    </xf>
    <xf numFmtId="165" fontId="27" fillId="12" borderId="23" xfId="12" applyFont="1" applyBorder="1" applyAlignment="1">
      <alignment horizontal="center" vertical="center"/>
    </xf>
    <xf numFmtId="10" fontId="22" fillId="12" borderId="24" xfId="15" applyNumberFormat="1" applyFont="1" applyFill="1" applyBorder="1" applyAlignment="1">
      <alignment horizontal="center" vertical="center" wrapText="1"/>
    </xf>
    <xf numFmtId="10" fontId="14" fillId="12" borderId="25" xfId="15" applyNumberFormat="1" applyFont="1" applyBorder="1" applyAlignment="1">
      <alignment horizontal="center" vertical="center"/>
    </xf>
    <xf numFmtId="10" fontId="14" fillId="12" borderId="26" xfId="15" applyNumberFormat="1" applyFont="1" applyBorder="1" applyAlignment="1">
      <alignment horizontal="center" vertical="center"/>
    </xf>
    <xf numFmtId="10" fontId="14" fillId="12" borderId="27" xfId="15" applyNumberFormat="1" applyFont="1" applyBorder="1" applyAlignment="1">
      <alignment horizontal="center" vertical="center"/>
    </xf>
    <xf numFmtId="10" fontId="14" fillId="12" borderId="22" xfId="15" applyNumberFormat="1" applyFont="1" applyBorder="1" applyAlignment="1">
      <alignment horizontal="center" vertical="center"/>
    </xf>
    <xf numFmtId="10" fontId="14" fillId="12" borderId="28" xfId="15" applyNumberFormat="1" applyFont="1" applyBorder="1" applyAlignment="1">
      <alignment horizontal="center" vertical="center"/>
    </xf>
    <xf numFmtId="10" fontId="22" fillId="12" borderId="18" xfId="15" applyNumberFormat="1" applyFont="1" applyFill="1" applyBorder="1" applyAlignment="1">
      <alignment horizontal="center" vertical="center"/>
    </xf>
    <xf numFmtId="10" fontId="14" fillId="12" borderId="23" xfId="15" applyNumberFormat="1" applyFont="1" applyBorder="1" applyAlignment="1">
      <alignment horizontal="center" vertical="center"/>
    </xf>
    <xf numFmtId="0" fontId="28" fillId="12" borderId="17" xfId="12" applyNumberFormat="1" applyFont="1" applyFill="1" applyBorder="1" applyAlignment="1">
      <alignment horizontal="center"/>
    </xf>
    <xf numFmtId="165" fontId="28" fillId="12" borderId="17" xfId="12" applyNumberFormat="1" applyFont="1" applyFill="1" applyBorder="1"/>
    <xf numFmtId="0" fontId="29" fillId="12" borderId="17" xfId="12" applyNumberFormat="1" applyFont="1" applyFill="1" applyBorder="1" applyAlignment="1">
      <alignment horizontal="center"/>
    </xf>
    <xf numFmtId="165" fontId="30" fillId="12" borderId="17" xfId="12" applyNumberFormat="1" applyFont="1" applyFill="1" applyBorder="1"/>
    <xf numFmtId="165" fontId="29" fillId="12" borderId="17" xfId="12" applyNumberFormat="1" applyFont="1" applyFill="1" applyBorder="1"/>
    <xf numFmtId="165" fontId="29" fillId="12" borderId="17" xfId="12" applyNumberFormat="1" applyFont="1" applyFill="1" applyBorder="1" applyAlignment="1">
      <alignment wrapText="1"/>
    </xf>
    <xf numFmtId="0" fontId="28" fillId="12" borderId="17" xfId="12" applyNumberFormat="1" applyFont="1" applyFill="1" applyBorder="1" applyAlignment="1">
      <alignment horizontal="center" wrapText="1"/>
    </xf>
    <xf numFmtId="165" fontId="28" fillId="12" borderId="17" xfId="12" applyNumberFormat="1" applyFont="1" applyFill="1" applyBorder="1" applyAlignment="1">
      <alignment wrapText="1"/>
    </xf>
    <xf numFmtId="0" fontId="29" fillId="12" borderId="17" xfId="12" applyNumberFormat="1" applyFont="1" applyFill="1" applyBorder="1" applyAlignment="1">
      <alignment horizontal="center" wrapText="1"/>
    </xf>
    <xf numFmtId="165" fontId="30" fillId="12" borderId="17" xfId="12" applyNumberFormat="1" applyFont="1" applyFill="1" applyBorder="1" applyAlignment="1">
      <alignment wrapText="1"/>
    </xf>
    <xf numFmtId="0" fontId="28" fillId="12" borderId="17" xfId="12" applyNumberFormat="1" applyFont="1" applyFill="1" applyBorder="1" applyAlignment="1">
      <alignment horizontal="center" vertical="center" wrapText="1"/>
    </xf>
    <xf numFmtId="165" fontId="28" fillId="12" borderId="17" xfId="12" applyNumberFormat="1" applyFont="1" applyFill="1" applyBorder="1" applyAlignment="1">
      <alignment vertical="center" wrapText="1"/>
    </xf>
    <xf numFmtId="0" fontId="29" fillId="12" borderId="17" xfId="12" applyNumberFormat="1" applyFont="1" applyFill="1" applyBorder="1" applyAlignment="1">
      <alignment horizontal="center" vertical="center" wrapText="1"/>
    </xf>
    <xf numFmtId="165" fontId="30" fillId="12" borderId="17" xfId="12" applyNumberFormat="1" applyFont="1" applyFill="1" applyBorder="1" applyAlignment="1">
      <alignment vertical="center" wrapText="1"/>
    </xf>
    <xf numFmtId="165" fontId="29" fillId="12" borderId="17" xfId="12" applyNumberFormat="1" applyFont="1" applyFill="1" applyBorder="1" applyAlignment="1">
      <alignment vertical="center" wrapText="1"/>
    </xf>
    <xf numFmtId="0" fontId="29" fillId="24" borderId="17" xfId="12" applyNumberFormat="1" applyFont="1" applyFill="1" applyBorder="1" applyAlignment="1">
      <alignment horizontal="center" vertical="center" wrapText="1"/>
    </xf>
    <xf numFmtId="165" fontId="30" fillId="24" borderId="17" xfId="12" applyNumberFormat="1" applyFont="1" applyFill="1" applyBorder="1" applyAlignment="1">
      <alignment vertical="center" wrapText="1"/>
    </xf>
    <xf numFmtId="0" fontId="29" fillId="24" borderId="32" xfId="12" applyNumberFormat="1" applyFont="1" applyFill="1" applyBorder="1" applyAlignment="1">
      <alignment horizontal="center" vertical="center" wrapText="1"/>
    </xf>
    <xf numFmtId="165" fontId="30" fillId="24" borderId="32" xfId="12" applyNumberFormat="1" applyFont="1" applyFill="1" applyBorder="1" applyAlignment="1">
      <alignment vertical="center" wrapText="1"/>
    </xf>
    <xf numFmtId="0" fontId="29" fillId="25" borderId="17" xfId="12" applyNumberFormat="1" applyFont="1" applyFill="1" applyBorder="1" applyAlignment="1">
      <alignment horizontal="center" vertical="center" wrapText="1"/>
    </xf>
    <xf numFmtId="165" fontId="30" fillId="25" borderId="17" xfId="12" applyNumberFormat="1" applyFont="1" applyFill="1" applyBorder="1" applyAlignment="1">
      <alignment vertical="center" wrapText="1"/>
    </xf>
    <xf numFmtId="0" fontId="29" fillId="25" borderId="32" xfId="12" applyNumberFormat="1" applyFont="1" applyFill="1" applyBorder="1" applyAlignment="1">
      <alignment horizontal="center" vertical="center" wrapText="1"/>
    </xf>
    <xf numFmtId="165" fontId="30" fillId="25" borderId="32" xfId="12" applyNumberFormat="1" applyFont="1" applyFill="1" applyBorder="1" applyAlignment="1">
      <alignment vertical="center" wrapText="1"/>
    </xf>
    <xf numFmtId="165" fontId="29" fillId="24" borderId="17" xfId="12" applyNumberFormat="1" applyFont="1" applyFill="1" applyBorder="1" applyAlignment="1">
      <alignment vertical="center" wrapText="1"/>
    </xf>
    <xf numFmtId="165" fontId="29" fillId="24" borderId="32" xfId="12" applyNumberFormat="1" applyFont="1" applyFill="1" applyBorder="1" applyAlignment="1">
      <alignment vertical="center" wrapText="1"/>
    </xf>
    <xf numFmtId="165" fontId="29" fillId="25" borderId="17" xfId="12" applyNumberFormat="1" applyFont="1" applyFill="1" applyBorder="1" applyAlignment="1">
      <alignment vertical="center" wrapText="1"/>
    </xf>
    <xf numFmtId="165" fontId="29" fillId="25" borderId="32" xfId="12" applyNumberFormat="1" applyFont="1" applyFill="1" applyBorder="1" applyAlignment="1">
      <alignment vertical="center" wrapText="1"/>
    </xf>
    <xf numFmtId="0" fontId="28" fillId="26" borderId="17" xfId="12" applyNumberFormat="1" applyFont="1" applyFill="1" applyBorder="1" applyAlignment="1">
      <alignment horizontal="center" vertical="center" wrapText="1"/>
    </xf>
    <xf numFmtId="165" fontId="28" fillId="26" borderId="17" xfId="12" applyNumberFormat="1" applyFont="1" applyFill="1" applyBorder="1" applyAlignment="1">
      <alignment vertical="center" wrapText="1"/>
    </xf>
    <xf numFmtId="0" fontId="31" fillId="26" borderId="17" xfId="12" applyNumberFormat="1" applyFont="1" applyFill="1" applyBorder="1" applyAlignment="1">
      <alignment horizontal="center" vertical="center" wrapText="1"/>
    </xf>
    <xf numFmtId="165" fontId="31" fillId="26" borderId="17" xfId="12" applyNumberFormat="1" applyFont="1" applyFill="1" applyBorder="1" applyAlignment="1">
      <alignment vertical="center" wrapText="1"/>
    </xf>
    <xf numFmtId="0" fontId="31" fillId="26" borderId="33" xfId="12" applyNumberFormat="1" applyFont="1" applyFill="1" applyBorder="1" applyAlignment="1">
      <alignment horizontal="center" vertical="center" wrapText="1"/>
    </xf>
    <xf numFmtId="165" fontId="31" fillId="26" borderId="33" xfId="12" applyNumberFormat="1" applyFont="1" applyFill="1" applyBorder="1" applyAlignment="1">
      <alignment vertical="center" wrapText="1"/>
    </xf>
    <xf numFmtId="165" fontId="31" fillId="26" borderId="33" xfId="12" applyNumberFormat="1" applyFont="1" applyFill="1" applyBorder="1" applyAlignment="1">
      <alignment horizontal="center" vertical="center" wrapText="1"/>
    </xf>
    <xf numFmtId="0" fontId="32" fillId="24" borderId="32" xfId="12" applyNumberFormat="1" applyFont="1" applyFill="1" applyBorder="1" applyAlignment="1">
      <alignment horizontal="center" vertical="center" wrapText="1"/>
    </xf>
    <xf numFmtId="0" fontId="32" fillId="24" borderId="32" xfId="12" applyNumberFormat="1" applyFont="1" applyFill="1" applyBorder="1" applyAlignment="1">
      <alignment horizontal="right" vertical="center" wrapText="1"/>
    </xf>
    <xf numFmtId="0" fontId="32" fillId="25" borderId="32" xfId="12" applyNumberFormat="1" applyFont="1" applyFill="1" applyBorder="1" applyAlignment="1">
      <alignment horizontal="center" vertical="center" wrapText="1"/>
    </xf>
    <xf numFmtId="0" fontId="32" fillId="25" borderId="32" xfId="12" applyNumberFormat="1" applyFont="1" applyFill="1" applyBorder="1" applyAlignment="1">
      <alignment horizontal="right" vertical="center" wrapText="1"/>
    </xf>
    <xf numFmtId="165" fontId="28" fillId="16" borderId="17" xfId="12" applyNumberFormat="1" applyFont="1" applyFill="1" applyBorder="1" applyAlignment="1">
      <alignment wrapText="1"/>
    </xf>
    <xf numFmtId="165" fontId="28" fillId="16" borderId="17" xfId="12" applyNumberFormat="1" applyFont="1" applyFill="1" applyBorder="1" applyAlignment="1">
      <alignment horizontal="center" wrapText="1"/>
    </xf>
    <xf numFmtId="165" fontId="28" fillId="16" borderId="17" xfId="12" applyNumberFormat="1" applyFont="1" applyFill="1" applyBorder="1" applyAlignment="1">
      <alignment horizontal="center"/>
    </xf>
    <xf numFmtId="165" fontId="29" fillId="12" borderId="16" xfId="12" applyNumberFormat="1" applyFont="1" applyFill="1" applyBorder="1"/>
    <xf numFmtId="165" fontId="30" fillId="12" borderId="17" xfId="12" applyNumberFormat="1" applyFont="1" applyFill="1" applyBorder="1" applyAlignment="1">
      <alignment horizontal="center" vertical="center" wrapText="1"/>
    </xf>
    <xf numFmtId="165" fontId="29" fillId="17" borderId="17" xfId="12" applyNumberFormat="1" applyFont="1" applyFill="1" applyBorder="1" applyAlignment="1">
      <alignment horizontal="center"/>
    </xf>
    <xf numFmtId="164" fontId="29" fillId="12" borderId="16" xfId="12" applyNumberFormat="1" applyFont="1" applyFill="1" applyBorder="1"/>
    <xf numFmtId="164" fontId="29" fillId="17" borderId="17" xfId="12" applyNumberFormat="1" applyFont="1" applyFill="1" applyBorder="1" applyAlignment="1">
      <alignment horizontal="center"/>
    </xf>
    <xf numFmtId="9" fontId="29" fillId="17" borderId="17" xfId="12" applyNumberFormat="1" applyFont="1" applyFill="1" applyBorder="1" applyAlignment="1">
      <alignment horizontal="center"/>
    </xf>
    <xf numFmtId="0" fontId="29" fillId="17" borderId="17" xfId="12" applyNumberFormat="1" applyFont="1" applyFill="1" applyBorder="1" applyAlignment="1">
      <alignment horizontal="center"/>
    </xf>
    <xf numFmtId="165" fontId="29" fillId="12" borderId="16" xfId="12" applyNumberFormat="1" applyFont="1" applyFill="1" applyBorder="1" applyAlignment="1">
      <alignment wrapText="1"/>
    </xf>
    <xf numFmtId="165" fontId="29" fillId="17" borderId="17" xfId="12" applyNumberFormat="1" applyFont="1" applyFill="1" applyBorder="1" applyAlignment="1">
      <alignment horizontal="center" wrapText="1"/>
    </xf>
    <xf numFmtId="164" fontId="29" fillId="12" borderId="16" xfId="12" applyNumberFormat="1" applyFont="1" applyFill="1" applyBorder="1" applyAlignment="1">
      <alignment wrapText="1"/>
    </xf>
    <xf numFmtId="164" fontId="29" fillId="17" borderId="17" xfId="12" applyNumberFormat="1" applyFont="1" applyFill="1" applyBorder="1" applyAlignment="1">
      <alignment horizontal="center" wrapText="1"/>
    </xf>
    <xf numFmtId="9" fontId="29" fillId="17" borderId="17" xfId="12" applyNumberFormat="1" applyFont="1" applyFill="1" applyBorder="1" applyAlignment="1">
      <alignment horizontal="center" wrapText="1"/>
    </xf>
    <xf numFmtId="0" fontId="29" fillId="17" borderId="17" xfId="12" applyNumberFormat="1" applyFont="1" applyFill="1" applyBorder="1" applyAlignment="1">
      <alignment horizontal="center" wrapText="1"/>
    </xf>
    <xf numFmtId="165" fontId="28" fillId="16" borderId="17" xfId="12" applyNumberFormat="1" applyFont="1" applyFill="1" applyBorder="1" applyAlignment="1">
      <alignment vertical="center" wrapText="1"/>
    </xf>
    <xf numFmtId="165" fontId="28" fillId="16" borderId="17" xfId="12" applyNumberFormat="1" applyFont="1" applyFill="1" applyBorder="1" applyAlignment="1">
      <alignment horizontal="center" vertical="center" wrapText="1"/>
    </xf>
    <xf numFmtId="165" fontId="29" fillId="12" borderId="16" xfId="12" applyNumberFormat="1" applyFont="1" applyFill="1" applyBorder="1" applyAlignment="1">
      <alignment vertical="center" wrapText="1"/>
    </xf>
    <xf numFmtId="165" fontId="29" fillId="17" borderId="17" xfId="12" applyNumberFormat="1" applyFont="1" applyFill="1" applyBorder="1" applyAlignment="1">
      <alignment horizontal="center" vertical="center" wrapText="1"/>
    </xf>
    <xf numFmtId="164" fontId="29" fillId="12" borderId="16" xfId="12" applyNumberFormat="1" applyFont="1" applyFill="1" applyBorder="1" applyAlignment="1">
      <alignment vertical="center" wrapText="1"/>
    </xf>
    <xf numFmtId="164" fontId="29" fillId="17" borderId="17" xfId="12" applyNumberFormat="1" applyFont="1" applyFill="1" applyBorder="1" applyAlignment="1">
      <alignment horizontal="center" vertical="center" wrapText="1"/>
    </xf>
    <xf numFmtId="9" fontId="29" fillId="17" borderId="17" xfId="12" applyNumberFormat="1" applyFont="1" applyFill="1" applyBorder="1" applyAlignment="1">
      <alignment horizontal="center" vertical="center" wrapText="1"/>
    </xf>
    <xf numFmtId="0" fontId="29" fillId="17" borderId="17" xfId="12" applyNumberFormat="1" applyFont="1" applyFill="1" applyBorder="1" applyAlignment="1">
      <alignment horizontal="center" vertical="center" wrapText="1"/>
    </xf>
    <xf numFmtId="165" fontId="30" fillId="24" borderId="17" xfId="12" applyNumberFormat="1" applyFont="1" applyFill="1" applyBorder="1" applyAlignment="1">
      <alignment horizontal="center" vertical="center" wrapText="1"/>
    </xf>
    <xf numFmtId="165" fontId="29" fillId="24" borderId="17" xfId="12" applyNumberFormat="1" applyFont="1" applyFill="1" applyBorder="1" applyAlignment="1">
      <alignment horizontal="center" vertical="center" wrapText="1"/>
    </xf>
    <xf numFmtId="164" fontId="29" fillId="24" borderId="16" xfId="12" applyNumberFormat="1" applyFont="1" applyFill="1" applyBorder="1" applyAlignment="1">
      <alignment vertical="center" wrapText="1"/>
    </xf>
    <xf numFmtId="165" fontId="29" fillId="24" borderId="16" xfId="12" applyNumberFormat="1" applyFont="1" applyFill="1" applyBorder="1" applyAlignment="1">
      <alignment vertical="center" wrapText="1"/>
    </xf>
    <xf numFmtId="165" fontId="30" fillId="24" borderId="32" xfId="12" applyNumberFormat="1" applyFont="1" applyFill="1" applyBorder="1" applyAlignment="1">
      <alignment horizontal="center" vertical="center" wrapText="1"/>
    </xf>
    <xf numFmtId="165" fontId="29" fillId="24" borderId="32" xfId="12" applyNumberFormat="1" applyFont="1" applyFill="1" applyBorder="1" applyAlignment="1">
      <alignment horizontal="center" vertical="center" wrapText="1"/>
    </xf>
    <xf numFmtId="164" fontId="29" fillId="24" borderId="34" xfId="12" applyNumberFormat="1" applyFont="1" applyFill="1" applyBorder="1" applyAlignment="1">
      <alignment vertical="center" wrapText="1"/>
    </xf>
    <xf numFmtId="165" fontId="29" fillId="24" borderId="34" xfId="12" applyNumberFormat="1" applyFont="1" applyFill="1" applyBorder="1" applyAlignment="1">
      <alignment vertical="center" wrapText="1"/>
    </xf>
    <xf numFmtId="165" fontId="30" fillId="25" borderId="17" xfId="12" applyNumberFormat="1" applyFont="1" applyFill="1" applyBorder="1" applyAlignment="1">
      <alignment horizontal="center" vertical="center" wrapText="1"/>
    </xf>
    <xf numFmtId="165" fontId="29" fillId="25" borderId="17" xfId="12" applyNumberFormat="1" applyFont="1" applyFill="1" applyBorder="1" applyAlignment="1">
      <alignment horizontal="center" vertical="center" wrapText="1"/>
    </xf>
    <xf numFmtId="165" fontId="29" fillId="25" borderId="16" xfId="12" applyNumberFormat="1" applyFont="1" applyFill="1" applyBorder="1" applyAlignment="1">
      <alignment vertical="center" wrapText="1"/>
    </xf>
    <xf numFmtId="165" fontId="30" fillId="25" borderId="32" xfId="12" applyNumberFormat="1" applyFont="1" applyFill="1" applyBorder="1" applyAlignment="1">
      <alignment horizontal="center" vertical="center" wrapText="1"/>
    </xf>
    <xf numFmtId="165" fontId="29" fillId="25" borderId="32" xfId="12" applyNumberFormat="1" applyFont="1" applyFill="1" applyBorder="1" applyAlignment="1">
      <alignment horizontal="center" vertical="center" wrapText="1"/>
    </xf>
    <xf numFmtId="165" fontId="29" fillId="25" borderId="34" xfId="12" applyNumberFormat="1" applyFont="1" applyFill="1" applyBorder="1" applyAlignment="1">
      <alignment vertical="center" wrapText="1"/>
    </xf>
    <xf numFmtId="164" fontId="29" fillId="24" borderId="17" xfId="12" applyNumberFormat="1" applyFont="1" applyFill="1" applyBorder="1" applyAlignment="1">
      <alignment horizontal="center" vertical="center" wrapText="1"/>
    </xf>
    <xf numFmtId="164" fontId="29" fillId="24" borderId="32" xfId="12" applyNumberFormat="1" applyFont="1" applyFill="1" applyBorder="1" applyAlignment="1">
      <alignment horizontal="center" vertical="center" wrapText="1"/>
    </xf>
    <xf numFmtId="9" fontId="29" fillId="25" borderId="17" xfId="12" applyNumberFormat="1" applyFont="1" applyFill="1" applyBorder="1" applyAlignment="1">
      <alignment horizontal="center" vertical="center" wrapText="1"/>
    </xf>
    <xf numFmtId="9" fontId="29" fillId="25" borderId="32" xfId="12" applyNumberFormat="1" applyFont="1" applyFill="1" applyBorder="1" applyAlignment="1">
      <alignment horizontal="center" vertical="center" wrapText="1"/>
    </xf>
    <xf numFmtId="9" fontId="29" fillId="24" borderId="17" xfId="12" applyNumberFormat="1" applyFont="1" applyFill="1" applyBorder="1" applyAlignment="1">
      <alignment horizontal="center" vertical="center" wrapText="1"/>
    </xf>
    <xf numFmtId="9" fontId="29" fillId="24" borderId="32" xfId="12" applyNumberFormat="1" applyFont="1" applyFill="1" applyBorder="1" applyAlignment="1">
      <alignment horizontal="center" vertical="center" wrapText="1"/>
    </xf>
    <xf numFmtId="165" fontId="28" fillId="26" borderId="17" xfId="12" applyNumberFormat="1" applyFont="1" applyFill="1" applyBorder="1" applyAlignment="1">
      <alignment horizontal="center" vertical="center" wrapText="1"/>
    </xf>
    <xf numFmtId="165" fontId="29" fillId="26" borderId="16" xfId="12" applyNumberFormat="1" applyFont="1" applyFill="1" applyBorder="1" applyAlignment="1">
      <alignment vertical="center" wrapText="1"/>
    </xf>
    <xf numFmtId="165" fontId="31" fillId="26" borderId="17" xfId="12" applyNumberFormat="1" applyFont="1" applyFill="1" applyBorder="1" applyAlignment="1">
      <alignment horizontal="center" vertical="center" wrapText="1"/>
    </xf>
    <xf numFmtId="165" fontId="33" fillId="26" borderId="16" xfId="12" applyNumberFormat="1" applyFont="1" applyFill="1" applyBorder="1" applyAlignment="1">
      <alignment vertical="center" wrapText="1"/>
    </xf>
    <xf numFmtId="165" fontId="33" fillId="26" borderId="35" xfId="12" applyNumberFormat="1" applyFont="1" applyFill="1" applyBorder="1" applyAlignment="1">
      <alignment vertical="center" wrapText="1"/>
    </xf>
    <xf numFmtId="165" fontId="33" fillId="26" borderId="35" xfId="12" applyNumberFormat="1" applyFont="1" applyFill="1" applyBorder="1" applyAlignment="1">
      <alignment horizontal="center" vertical="center" wrapText="1"/>
    </xf>
    <xf numFmtId="165" fontId="32" fillId="24" borderId="32" xfId="12" applyNumberFormat="1" applyFont="1" applyFill="1" applyBorder="1" applyAlignment="1">
      <alignment horizontal="center" vertical="center" wrapText="1"/>
    </xf>
    <xf numFmtId="165" fontId="32" fillId="24" borderId="32" xfId="12" applyNumberFormat="1" applyFont="1" applyFill="1" applyBorder="1" applyAlignment="1">
      <alignment horizontal="right" vertical="center" wrapText="1"/>
    </xf>
    <xf numFmtId="165" fontId="29" fillId="25" borderId="32" xfId="12" applyNumberFormat="1" applyFont="1" applyFill="1" applyBorder="1" applyAlignment="1">
      <alignment horizontal="right" vertical="center" wrapText="1"/>
    </xf>
    <xf numFmtId="164" fontId="29" fillId="24" borderId="32" xfId="12" applyNumberFormat="1" applyFont="1" applyFill="1" applyBorder="1" applyAlignment="1">
      <alignment horizontal="right" vertical="center" wrapText="1"/>
    </xf>
    <xf numFmtId="165" fontId="29" fillId="24" borderId="34" xfId="12" applyNumberFormat="1" applyFont="1" applyFill="1" applyBorder="1" applyAlignment="1">
      <alignment horizontal="right" vertical="center" wrapText="1"/>
    </xf>
    <xf numFmtId="9" fontId="32" fillId="25" borderId="32" xfId="12" applyNumberFormat="1" applyFont="1" applyFill="1" applyBorder="1" applyAlignment="1">
      <alignment horizontal="center" vertical="center" wrapText="1"/>
    </xf>
    <xf numFmtId="9" fontId="32" fillId="25" borderId="32" xfId="12" applyNumberFormat="1" applyFont="1" applyFill="1" applyBorder="1" applyAlignment="1">
      <alignment horizontal="right" vertical="center" wrapText="1"/>
    </xf>
    <xf numFmtId="9" fontId="32" fillId="24" borderId="32" xfId="12" applyNumberFormat="1" applyFont="1" applyFill="1" applyBorder="1" applyAlignment="1">
      <alignment horizontal="center" vertical="center" wrapText="1"/>
    </xf>
    <xf numFmtId="9" fontId="32" fillId="24" borderId="32" xfId="12" applyNumberFormat="1" applyFont="1" applyFill="1" applyBorder="1" applyAlignment="1">
      <alignment horizontal="right" vertical="center" wrapText="1"/>
    </xf>
    <xf numFmtId="165" fontId="29" fillId="24" borderId="32" xfId="12" applyNumberFormat="1" applyFont="1" applyFill="1" applyBorder="1" applyAlignment="1">
      <alignment horizontal="right" vertical="center" wrapText="1"/>
    </xf>
    <xf numFmtId="0" fontId="28" fillId="17" borderId="17" xfId="12" applyNumberFormat="1" applyFont="1" applyFill="1" applyBorder="1" applyAlignment="1">
      <alignment horizontal="center"/>
    </xf>
    <xf numFmtId="165" fontId="28" fillId="17" borderId="17" xfId="12" applyNumberFormat="1" applyFont="1" applyFill="1" applyBorder="1" applyAlignment="1">
      <alignment horizontal="center"/>
    </xf>
    <xf numFmtId="168" fontId="28" fillId="17" borderId="17" xfId="12" applyNumberFormat="1" applyFont="1" applyFill="1" applyBorder="1" applyAlignment="1">
      <alignment horizontal="center"/>
    </xf>
    <xf numFmtId="165" fontId="28" fillId="17" borderId="17" xfId="12" applyNumberFormat="1" applyFont="1" applyFill="1" applyBorder="1" applyAlignment="1">
      <alignment horizontal="center" wrapText="1"/>
    </xf>
    <xf numFmtId="0" fontId="28" fillId="21" borderId="17" xfId="12" applyNumberFormat="1" applyFont="1" applyFill="1" applyBorder="1" applyAlignment="1">
      <alignment horizontal="center"/>
    </xf>
    <xf numFmtId="165" fontId="28" fillId="21" borderId="17" xfId="12" applyNumberFormat="1" applyFont="1" applyFill="1" applyBorder="1" applyAlignment="1">
      <alignment horizontal="left"/>
    </xf>
    <xf numFmtId="165" fontId="29" fillId="21" borderId="17" xfId="12" applyNumberFormat="1" applyFont="1" applyFill="1" applyBorder="1" applyAlignment="1">
      <alignment horizontal="center"/>
    </xf>
    <xf numFmtId="164" fontId="29" fillId="21" borderId="17" xfId="12" applyNumberFormat="1" applyFont="1" applyFill="1" applyBorder="1"/>
    <xf numFmtId="168" fontId="28" fillId="21" borderId="17" xfId="12" applyNumberFormat="1" applyFont="1" applyFill="1" applyBorder="1"/>
    <xf numFmtId="164" fontId="28" fillId="22" borderId="17" xfId="12" applyNumberFormat="1" applyFont="1" applyFill="1" applyBorder="1" applyAlignment="1">
      <alignment horizontal="right"/>
    </xf>
    <xf numFmtId="165" fontId="34" fillId="12" borderId="17" xfId="12" applyNumberFormat="1" applyFont="1" applyFill="1" applyBorder="1" applyAlignment="1">
      <alignment horizontal="right"/>
    </xf>
    <xf numFmtId="9" fontId="29" fillId="12" borderId="17" xfId="12" applyNumberFormat="1" applyFont="1" applyFill="1" applyBorder="1" applyAlignment="1">
      <alignment horizontal="center"/>
    </xf>
    <xf numFmtId="164" fontId="29" fillId="12" borderId="17" xfId="12" applyNumberFormat="1" applyFont="1" applyFill="1" applyBorder="1"/>
    <xf numFmtId="168" fontId="34" fillId="12" borderId="17" xfId="12" applyNumberFormat="1" applyFont="1" applyFill="1" applyBorder="1" applyAlignment="1">
      <alignment horizontal="right"/>
    </xf>
    <xf numFmtId="164" fontId="34" fillId="12" borderId="17" xfId="12" applyNumberFormat="1" applyFont="1" applyFill="1" applyBorder="1" applyAlignment="1">
      <alignment horizontal="right"/>
    </xf>
    <xf numFmtId="165" fontId="30" fillId="12" borderId="17" xfId="12" applyNumberFormat="1" applyFont="1" applyFill="1" applyBorder="1" applyAlignment="1">
      <alignment horizontal="left"/>
    </xf>
    <xf numFmtId="10" fontId="29" fillId="12" borderId="29" xfId="12" applyNumberFormat="1" applyFont="1" applyFill="1" applyBorder="1" applyAlignment="1">
      <alignment horizontal="center" vertical="center"/>
    </xf>
    <xf numFmtId="10" fontId="29" fillId="12" borderId="17" xfId="12" applyNumberFormat="1" applyFont="1" applyFill="1" applyBorder="1" applyAlignment="1">
      <alignment horizontal="center"/>
    </xf>
    <xf numFmtId="168" fontId="30" fillId="12" borderId="17" xfId="12" applyNumberFormat="1" applyFont="1" applyFill="1" applyBorder="1" applyAlignment="1">
      <alignment horizontal="right"/>
    </xf>
    <xf numFmtId="164" fontId="30" fillId="12" borderId="17" xfId="12" applyNumberFormat="1" applyFont="1" applyFill="1" applyBorder="1" applyAlignment="1">
      <alignment horizontal="right" wrapText="1"/>
    </xf>
    <xf numFmtId="10" fontId="29" fillId="12" borderId="30" xfId="12" applyNumberFormat="1" applyFont="1" applyFill="1" applyBorder="1" applyAlignment="1">
      <alignment horizontal="center" vertical="center"/>
    </xf>
    <xf numFmtId="10" fontId="29" fillId="12" borderId="21" xfId="12" applyNumberFormat="1" applyFont="1" applyFill="1" applyBorder="1" applyAlignment="1">
      <alignment horizontal="center" vertical="center"/>
    </xf>
    <xf numFmtId="10" fontId="29" fillId="12" borderId="17" xfId="12" applyNumberFormat="1" applyFont="1" applyFill="1" applyBorder="1" applyAlignment="1">
      <alignment horizontal="center" vertical="center"/>
    </xf>
    <xf numFmtId="0" fontId="28" fillId="14" borderId="17" xfId="12" applyNumberFormat="1" applyFont="1" applyFill="1" applyBorder="1" applyAlignment="1">
      <alignment horizontal="center"/>
    </xf>
    <xf numFmtId="165" fontId="28" fillId="14" borderId="17" xfId="12" applyNumberFormat="1" applyFont="1" applyFill="1" applyBorder="1"/>
    <xf numFmtId="10" fontId="29" fillId="14" borderId="17" xfId="12" applyNumberFormat="1" applyFont="1" applyFill="1" applyBorder="1" applyAlignment="1">
      <alignment horizontal="center"/>
    </xf>
    <xf numFmtId="10" fontId="28" fillId="14" borderId="17" xfId="12" applyNumberFormat="1" applyFont="1" applyFill="1" applyBorder="1" applyAlignment="1">
      <alignment horizontal="center"/>
    </xf>
    <xf numFmtId="168" fontId="28" fillId="14" borderId="17" xfId="12" applyNumberFormat="1" applyFont="1" applyFill="1" applyBorder="1"/>
    <xf numFmtId="164" fontId="28" fillId="14" borderId="17" xfId="12" applyNumberFormat="1" applyFont="1" applyFill="1" applyBorder="1" applyAlignment="1">
      <alignment wrapText="1"/>
    </xf>
    <xf numFmtId="10" fontId="29" fillId="12" borderId="17" xfId="12" applyNumberFormat="1" applyFont="1" applyFill="1" applyBorder="1"/>
    <xf numFmtId="168" fontId="30" fillId="18" borderId="17" xfId="12" applyNumberFormat="1" applyFont="1" applyFill="1" applyBorder="1" applyAlignment="1">
      <alignment horizontal="right"/>
    </xf>
    <xf numFmtId="164" fontId="29" fillId="12" borderId="29" xfId="12" applyNumberFormat="1" applyFont="1" applyFill="1" applyBorder="1" applyAlignment="1">
      <alignment horizontal="center" vertical="center" wrapText="1"/>
    </xf>
    <xf numFmtId="10" fontId="29" fillId="12" borderId="16" xfId="12" applyNumberFormat="1" applyFont="1" applyFill="1" applyBorder="1"/>
    <xf numFmtId="164" fontId="29" fillId="12" borderId="30" xfId="12" applyNumberFormat="1" applyFont="1" applyFill="1" applyBorder="1" applyAlignment="1">
      <alignment horizontal="center" vertical="center" wrapText="1"/>
    </xf>
    <xf numFmtId="164" fontId="29" fillId="12" borderId="21" xfId="12" applyNumberFormat="1" applyFont="1" applyFill="1" applyBorder="1" applyAlignment="1">
      <alignment horizontal="center" vertical="center" wrapText="1"/>
    </xf>
    <xf numFmtId="164" fontId="29" fillId="12" borderId="17" xfId="12" applyNumberFormat="1" applyFont="1" applyFill="1" applyBorder="1" applyAlignment="1">
      <alignment vertical="center" wrapText="1"/>
    </xf>
    <xf numFmtId="164" fontId="29" fillId="12" borderId="17" xfId="12" applyNumberFormat="1" applyFont="1" applyFill="1" applyBorder="1" applyAlignment="1">
      <alignment wrapText="1"/>
    </xf>
    <xf numFmtId="0" fontId="28" fillId="23" borderId="17" xfId="12" applyNumberFormat="1" applyFont="1" applyFill="1" applyBorder="1" applyAlignment="1">
      <alignment horizontal="center"/>
    </xf>
    <xf numFmtId="165" fontId="28" fillId="23" borderId="17" xfId="12" applyNumberFormat="1" applyFont="1" applyFill="1" applyBorder="1"/>
    <xf numFmtId="9" fontId="28" fillId="23" borderId="17" xfId="12" applyNumberFormat="1" applyFont="1" applyFill="1" applyBorder="1" applyAlignment="1">
      <alignment horizontal="center"/>
    </xf>
    <xf numFmtId="169" fontId="28" fillId="23" borderId="17" xfId="12" applyNumberFormat="1" applyFont="1" applyFill="1" applyBorder="1" applyAlignment="1">
      <alignment horizontal="center"/>
    </xf>
    <xf numFmtId="168" fontId="28" fillId="23" borderId="17" xfId="12" applyNumberFormat="1" applyFont="1" applyFill="1" applyBorder="1"/>
    <xf numFmtId="164" fontId="28" fillId="23" borderId="17" xfId="12" applyNumberFormat="1" applyFont="1" applyFill="1" applyBorder="1" applyAlignment="1">
      <alignment wrapText="1"/>
    </xf>
    <xf numFmtId="165" fontId="29" fillId="12" borderId="17" xfId="12" applyNumberFormat="1" applyFont="1" applyFill="1" applyBorder="1" applyAlignment="1">
      <alignment horizontal="center"/>
    </xf>
    <xf numFmtId="10" fontId="28" fillId="12" borderId="17" xfId="12" applyNumberFormat="1" applyFont="1" applyFill="1" applyBorder="1"/>
    <xf numFmtId="168" fontId="28" fillId="12" borderId="17" xfId="12" applyNumberFormat="1" applyFont="1" applyFill="1" applyBorder="1"/>
    <xf numFmtId="165" fontId="30" fillId="12" borderId="17" xfId="12" applyNumberFormat="1" applyFont="1" applyFill="1" applyBorder="1" applyAlignment="1">
      <alignment horizontal="right"/>
    </xf>
    <xf numFmtId="168" fontId="29" fillId="12" borderId="17" xfId="12" applyNumberFormat="1" applyFont="1" applyFill="1" applyBorder="1"/>
    <xf numFmtId="9" fontId="29" fillId="12" borderId="17" xfId="12" applyNumberFormat="1" applyFont="1" applyFill="1" applyBorder="1"/>
    <xf numFmtId="165" fontId="29" fillId="12" borderId="17" xfId="12" applyNumberFormat="1" applyFont="1" applyFill="1" applyBorder="1" applyAlignment="1">
      <alignment horizontal="right"/>
    </xf>
    <xf numFmtId="0" fontId="28" fillId="17" borderId="17" xfId="12" applyNumberFormat="1" applyFont="1" applyFill="1" applyBorder="1" applyAlignment="1">
      <alignment horizontal="center" wrapText="1"/>
    </xf>
    <xf numFmtId="168" fontId="28" fillId="17" borderId="17" xfId="12" applyNumberFormat="1" applyFont="1" applyFill="1" applyBorder="1" applyAlignment="1">
      <alignment horizontal="center" wrapText="1"/>
    </xf>
    <xf numFmtId="0" fontId="28" fillId="21" borderId="17" xfId="12" applyNumberFormat="1" applyFont="1" applyFill="1" applyBorder="1" applyAlignment="1">
      <alignment horizontal="center" wrapText="1"/>
    </xf>
    <xf numFmtId="165" fontId="28" fillId="21" borderId="17" xfId="12" applyNumberFormat="1" applyFont="1" applyFill="1" applyBorder="1" applyAlignment="1">
      <alignment horizontal="left" wrapText="1"/>
    </xf>
    <xf numFmtId="165" fontId="29" fillId="21" borderId="17" xfId="12" applyNumberFormat="1" applyFont="1" applyFill="1" applyBorder="1" applyAlignment="1">
      <alignment horizontal="center" wrapText="1"/>
    </xf>
    <xf numFmtId="164" fontId="29" fillId="21" borderId="17" xfId="12" applyNumberFormat="1" applyFont="1" applyFill="1" applyBorder="1" applyAlignment="1">
      <alignment wrapText="1"/>
    </xf>
    <xf numFmtId="168" fontId="28" fillId="21" borderId="17" xfId="12" applyNumberFormat="1" applyFont="1" applyFill="1" applyBorder="1" applyAlignment="1">
      <alignment wrapText="1"/>
    </xf>
    <xf numFmtId="164" fontId="28" fillId="22" borderId="17" xfId="12" applyNumberFormat="1" applyFont="1" applyFill="1" applyBorder="1" applyAlignment="1">
      <alignment horizontal="right" wrapText="1"/>
    </xf>
    <xf numFmtId="165" fontId="34" fillId="12" borderId="17" xfId="12" applyNumberFormat="1" applyFont="1" applyFill="1" applyBorder="1" applyAlignment="1">
      <alignment horizontal="right" wrapText="1"/>
    </xf>
    <xf numFmtId="9" fontId="29" fillId="12" borderId="17" xfId="12" applyNumberFormat="1" applyFont="1" applyFill="1" applyBorder="1" applyAlignment="1">
      <alignment horizontal="center" wrapText="1"/>
    </xf>
    <xf numFmtId="168" fontId="34" fillId="12" borderId="17" xfId="12" applyNumberFormat="1" applyFont="1" applyFill="1" applyBorder="1" applyAlignment="1">
      <alignment horizontal="right" wrapText="1"/>
    </xf>
    <xf numFmtId="164" fontId="34" fillId="12" borderId="17" xfId="12" applyNumberFormat="1" applyFont="1" applyFill="1" applyBorder="1" applyAlignment="1">
      <alignment horizontal="right" wrapText="1"/>
    </xf>
    <xf numFmtId="165" fontId="30" fillId="12" borderId="17" xfId="12" applyNumberFormat="1" applyFont="1" applyFill="1" applyBorder="1" applyAlignment="1">
      <alignment horizontal="left" wrapText="1"/>
    </xf>
    <xf numFmtId="10" fontId="29" fillId="12" borderId="29" xfId="12" applyNumberFormat="1" applyFont="1" applyFill="1" applyBorder="1" applyAlignment="1">
      <alignment horizontal="center" vertical="center" wrapText="1"/>
    </xf>
    <xf numFmtId="10" fontId="29" fillId="12" borderId="17" xfId="12" applyNumberFormat="1" applyFont="1" applyFill="1" applyBorder="1" applyAlignment="1">
      <alignment horizontal="center" wrapText="1"/>
    </xf>
    <xf numFmtId="168" fontId="30" fillId="12" borderId="17" xfId="12" applyNumberFormat="1" applyFont="1" applyFill="1" applyBorder="1" applyAlignment="1">
      <alignment horizontal="right" wrapText="1"/>
    </xf>
    <xf numFmtId="10" fontId="29" fillId="12" borderId="30" xfId="12" applyNumberFormat="1" applyFont="1" applyFill="1" applyBorder="1" applyAlignment="1">
      <alignment horizontal="center" vertical="center" wrapText="1"/>
    </xf>
    <xf numFmtId="10" fontId="29" fillId="12" borderId="21" xfId="12" applyNumberFormat="1" applyFont="1" applyFill="1" applyBorder="1" applyAlignment="1">
      <alignment horizontal="center" vertical="center" wrapText="1"/>
    </xf>
    <xf numFmtId="10" fontId="29" fillId="12" borderId="17" xfId="12" applyNumberFormat="1" applyFont="1" applyFill="1" applyBorder="1" applyAlignment="1">
      <alignment horizontal="center" vertical="center" wrapText="1"/>
    </xf>
    <xf numFmtId="0" fontId="28" fillId="14" borderId="17" xfId="12" applyNumberFormat="1" applyFont="1" applyFill="1" applyBorder="1" applyAlignment="1">
      <alignment horizontal="center" wrapText="1"/>
    </xf>
    <xf numFmtId="165" fontId="28" fillId="14" borderId="17" xfId="12" applyNumberFormat="1" applyFont="1" applyFill="1" applyBorder="1" applyAlignment="1">
      <alignment wrapText="1"/>
    </xf>
    <xf numFmtId="10" fontId="29" fillId="14" borderId="17" xfId="12" applyNumberFormat="1" applyFont="1" applyFill="1" applyBorder="1" applyAlignment="1">
      <alignment horizontal="center" wrapText="1"/>
    </xf>
    <xf numFmtId="10" fontId="28" fillId="14" borderId="17" xfId="12" applyNumberFormat="1" applyFont="1" applyFill="1" applyBorder="1" applyAlignment="1">
      <alignment horizontal="center" wrapText="1"/>
    </xf>
    <xf numFmtId="168" fontId="28" fillId="14" borderId="17" xfId="12" applyNumberFormat="1" applyFont="1" applyFill="1" applyBorder="1" applyAlignment="1">
      <alignment wrapText="1"/>
    </xf>
    <xf numFmtId="10" fontId="29" fillId="12" borderId="17" xfId="12" applyNumberFormat="1" applyFont="1" applyFill="1" applyBorder="1" applyAlignment="1">
      <alignment wrapText="1"/>
    </xf>
    <xf numFmtId="168" fontId="30" fillId="18" borderId="17" xfId="12" applyNumberFormat="1" applyFont="1" applyFill="1" applyBorder="1" applyAlignment="1">
      <alignment horizontal="right" wrapText="1"/>
    </xf>
    <xf numFmtId="10" fontId="29" fillId="12" borderId="16" xfId="12" applyNumberFormat="1" applyFont="1" applyFill="1" applyBorder="1" applyAlignment="1">
      <alignment wrapText="1"/>
    </xf>
    <xf numFmtId="0" fontId="28" fillId="23" borderId="17" xfId="12" applyNumberFormat="1" applyFont="1" applyFill="1" applyBorder="1" applyAlignment="1">
      <alignment horizontal="center" wrapText="1"/>
    </xf>
    <xf numFmtId="165" fontId="28" fillId="23" borderId="17" xfId="12" applyNumberFormat="1" applyFont="1" applyFill="1" applyBorder="1" applyAlignment="1">
      <alignment wrapText="1"/>
    </xf>
    <xf numFmtId="9" fontId="28" fillId="23" borderId="17" xfId="12" applyNumberFormat="1" applyFont="1" applyFill="1" applyBorder="1" applyAlignment="1">
      <alignment horizontal="center" wrapText="1"/>
    </xf>
    <xf numFmtId="169" fontId="28" fillId="23" borderId="17" xfId="12" applyNumberFormat="1" applyFont="1" applyFill="1" applyBorder="1" applyAlignment="1">
      <alignment horizontal="center" wrapText="1"/>
    </xf>
    <xf numFmtId="168" fontId="28" fillId="23" borderId="17" xfId="12" applyNumberFormat="1" applyFont="1" applyFill="1" applyBorder="1" applyAlignment="1">
      <alignment wrapText="1"/>
    </xf>
    <xf numFmtId="165" fontId="29" fillId="12" borderId="17" xfId="12" applyNumberFormat="1" applyFont="1" applyFill="1" applyBorder="1" applyAlignment="1">
      <alignment horizontal="center" wrapText="1"/>
    </xf>
    <xf numFmtId="10" fontId="28" fillId="12" borderId="17" xfId="12" applyNumberFormat="1" applyFont="1" applyFill="1" applyBorder="1" applyAlignment="1">
      <alignment wrapText="1"/>
    </xf>
    <xf numFmtId="168" fontId="28" fillId="12" borderId="17" xfId="12" applyNumberFormat="1" applyFont="1" applyFill="1" applyBorder="1" applyAlignment="1">
      <alignment wrapText="1"/>
    </xf>
    <xf numFmtId="165" fontId="30" fillId="12" borderId="17" xfId="12" applyNumberFormat="1" applyFont="1" applyFill="1" applyBorder="1" applyAlignment="1">
      <alignment horizontal="right" wrapText="1"/>
    </xf>
    <xf numFmtId="168" fontId="29" fillId="12" borderId="17" xfId="12" applyNumberFormat="1" applyFont="1" applyFill="1" applyBorder="1" applyAlignment="1">
      <alignment wrapText="1"/>
    </xf>
    <xf numFmtId="9" fontId="29" fillId="12" borderId="17" xfId="12" applyNumberFormat="1" applyFont="1" applyFill="1" applyBorder="1" applyAlignment="1">
      <alignment wrapText="1"/>
    </xf>
    <xf numFmtId="165" fontId="29" fillId="12" borderId="17" xfId="12" applyNumberFormat="1" applyFont="1" applyFill="1" applyBorder="1" applyAlignment="1">
      <alignment horizontal="right" wrapText="1"/>
    </xf>
    <xf numFmtId="0" fontId="28" fillId="17" borderId="17" xfId="12" applyNumberFormat="1" applyFont="1" applyFill="1" applyBorder="1" applyAlignment="1">
      <alignment horizontal="center" vertical="center" wrapText="1"/>
    </xf>
    <xf numFmtId="165" fontId="28" fillId="17" borderId="17" xfId="12" applyNumberFormat="1" applyFont="1" applyFill="1" applyBorder="1" applyAlignment="1">
      <alignment horizontal="center" vertical="center" wrapText="1"/>
    </xf>
    <xf numFmtId="168" fontId="28" fillId="17" borderId="17" xfId="12" applyNumberFormat="1" applyFont="1" applyFill="1" applyBorder="1" applyAlignment="1">
      <alignment horizontal="center" vertical="center" wrapText="1"/>
    </xf>
    <xf numFmtId="0" fontId="28" fillId="21" borderId="17" xfId="12" applyNumberFormat="1" applyFont="1" applyFill="1" applyBorder="1" applyAlignment="1">
      <alignment horizontal="center" vertical="center" wrapText="1"/>
    </xf>
    <xf numFmtId="165" fontId="28" fillId="21" borderId="17" xfId="12" applyNumberFormat="1" applyFont="1" applyFill="1" applyBorder="1" applyAlignment="1">
      <alignment horizontal="left" vertical="center" wrapText="1"/>
    </xf>
    <xf numFmtId="165" fontId="29" fillId="21" borderId="17" xfId="12" applyNumberFormat="1" applyFont="1" applyFill="1" applyBorder="1" applyAlignment="1">
      <alignment horizontal="center" vertical="center" wrapText="1"/>
    </xf>
    <xf numFmtId="164" fontId="29" fillId="21" borderId="17" xfId="12" applyNumberFormat="1" applyFont="1" applyFill="1" applyBorder="1" applyAlignment="1">
      <alignment vertical="center" wrapText="1"/>
    </xf>
    <xf numFmtId="168" fontId="28" fillId="21" borderId="17" xfId="12" applyNumberFormat="1" applyFont="1" applyFill="1" applyBorder="1" applyAlignment="1">
      <alignment vertical="center" wrapText="1"/>
    </xf>
    <xf numFmtId="164" fontId="28" fillId="22" borderId="17" xfId="12" applyNumberFormat="1" applyFont="1" applyFill="1" applyBorder="1" applyAlignment="1">
      <alignment horizontal="right" vertical="center" wrapText="1"/>
    </xf>
    <xf numFmtId="165" fontId="34" fillId="12" borderId="17" xfId="12" applyNumberFormat="1" applyFont="1" applyFill="1" applyBorder="1" applyAlignment="1">
      <alignment horizontal="right" vertical="center" wrapText="1"/>
    </xf>
    <xf numFmtId="9" fontId="29" fillId="12" borderId="17" xfId="12" applyNumberFormat="1" applyFont="1" applyFill="1" applyBorder="1" applyAlignment="1">
      <alignment horizontal="center" vertical="center" wrapText="1"/>
    </xf>
    <xf numFmtId="168" fontId="34" fillId="12" borderId="17" xfId="12" applyNumberFormat="1" applyFont="1" applyFill="1" applyBorder="1" applyAlignment="1">
      <alignment horizontal="right" vertical="center" wrapText="1"/>
    </xf>
    <xf numFmtId="164" fontId="34" fillId="12" borderId="17" xfId="12" applyNumberFormat="1" applyFont="1" applyFill="1" applyBorder="1" applyAlignment="1">
      <alignment horizontal="right" vertical="center" wrapText="1"/>
    </xf>
    <xf numFmtId="165" fontId="30" fillId="12" borderId="17" xfId="12" applyNumberFormat="1" applyFont="1" applyFill="1" applyBorder="1" applyAlignment="1">
      <alignment horizontal="left" vertical="center" wrapText="1"/>
    </xf>
    <xf numFmtId="168" fontId="30" fillId="12" borderId="17" xfId="12" applyNumberFormat="1" applyFont="1" applyFill="1" applyBorder="1" applyAlignment="1">
      <alignment horizontal="right" vertical="center" wrapText="1"/>
    </xf>
    <xf numFmtId="164" fontId="30" fillId="12" borderId="17" xfId="12" applyNumberFormat="1" applyFont="1" applyFill="1" applyBorder="1" applyAlignment="1">
      <alignment horizontal="right" vertical="center" wrapText="1"/>
    </xf>
    <xf numFmtId="0" fontId="28" fillId="14" borderId="17" xfId="12" applyNumberFormat="1" applyFont="1" applyFill="1" applyBorder="1" applyAlignment="1">
      <alignment horizontal="center" vertical="center" wrapText="1"/>
    </xf>
    <xf numFmtId="165" fontId="28" fillId="14" borderId="17" xfId="12" applyNumberFormat="1" applyFont="1" applyFill="1" applyBorder="1" applyAlignment="1">
      <alignment vertical="center" wrapText="1"/>
    </xf>
    <xf numFmtId="10" fontId="29" fillId="14" borderId="17" xfId="12" applyNumberFormat="1" applyFont="1" applyFill="1" applyBorder="1" applyAlignment="1">
      <alignment horizontal="center" vertical="center" wrapText="1"/>
    </xf>
    <xf numFmtId="10" fontId="28" fillId="14" borderId="17" xfId="12" applyNumberFormat="1" applyFont="1" applyFill="1" applyBorder="1" applyAlignment="1">
      <alignment horizontal="center" vertical="center" wrapText="1"/>
    </xf>
    <xf numFmtId="168" fontId="28" fillId="14" borderId="17" xfId="12" applyNumberFormat="1" applyFont="1" applyFill="1" applyBorder="1" applyAlignment="1">
      <alignment vertical="center" wrapText="1"/>
    </xf>
    <xf numFmtId="164" fontId="28" fillId="14" borderId="17" xfId="12" applyNumberFormat="1" applyFont="1" applyFill="1" applyBorder="1" applyAlignment="1">
      <alignment vertical="center" wrapText="1"/>
    </xf>
    <xf numFmtId="10" fontId="29" fillId="12" borderId="17" xfId="12" applyNumberFormat="1" applyFont="1" applyFill="1" applyBorder="1" applyAlignment="1">
      <alignment vertical="center" wrapText="1"/>
    </xf>
    <xf numFmtId="168" fontId="30" fillId="18" borderId="17" xfId="12" applyNumberFormat="1" applyFont="1" applyFill="1" applyBorder="1" applyAlignment="1">
      <alignment horizontal="right" vertical="center" wrapText="1"/>
    </xf>
    <xf numFmtId="10" fontId="29" fillId="12" borderId="16" xfId="12" applyNumberFormat="1" applyFont="1" applyFill="1" applyBorder="1" applyAlignment="1">
      <alignment vertical="center" wrapText="1"/>
    </xf>
    <xf numFmtId="0" fontId="28" fillId="23" borderId="17" xfId="12" applyNumberFormat="1" applyFont="1" applyFill="1" applyBorder="1" applyAlignment="1">
      <alignment horizontal="center" vertical="center" wrapText="1"/>
    </xf>
    <xf numFmtId="165" fontId="28" fillId="23" borderId="17" xfId="12" applyNumberFormat="1" applyFont="1" applyFill="1" applyBorder="1" applyAlignment="1">
      <alignment vertical="center" wrapText="1"/>
    </xf>
    <xf numFmtId="9" fontId="28" fillId="23" borderId="17" xfId="12" applyNumberFormat="1" applyFont="1" applyFill="1" applyBorder="1" applyAlignment="1">
      <alignment horizontal="center" vertical="center" wrapText="1"/>
    </xf>
    <xf numFmtId="169" fontId="28" fillId="23" borderId="17" xfId="12" applyNumberFormat="1" applyFont="1" applyFill="1" applyBorder="1" applyAlignment="1">
      <alignment horizontal="center" vertical="center" wrapText="1"/>
    </xf>
    <xf numFmtId="168" fontId="28" fillId="23" borderId="17" xfId="12" applyNumberFormat="1" applyFont="1" applyFill="1" applyBorder="1" applyAlignment="1">
      <alignment vertical="center" wrapText="1"/>
    </xf>
    <xf numFmtId="164" fontId="28" fillId="23" borderId="17" xfId="12" applyNumberFormat="1" applyFont="1" applyFill="1" applyBorder="1" applyAlignment="1">
      <alignment vertical="center" wrapText="1"/>
    </xf>
    <xf numFmtId="165" fontId="29" fillId="12" borderId="17" xfId="12" applyNumberFormat="1" applyFont="1" applyFill="1" applyBorder="1" applyAlignment="1">
      <alignment horizontal="center" vertical="center" wrapText="1"/>
    </xf>
    <xf numFmtId="10" fontId="28" fillId="12" borderId="17" xfId="12" applyNumberFormat="1" applyFont="1" applyFill="1" applyBorder="1" applyAlignment="1">
      <alignment vertical="center" wrapText="1"/>
    </xf>
    <xf numFmtId="168" fontId="28" fillId="12" borderId="17" xfId="12" applyNumberFormat="1" applyFont="1" applyFill="1" applyBorder="1" applyAlignment="1">
      <alignment vertical="center" wrapText="1"/>
    </xf>
    <xf numFmtId="165" fontId="30" fillId="12" borderId="17" xfId="12" applyNumberFormat="1" applyFont="1" applyFill="1" applyBorder="1" applyAlignment="1">
      <alignment horizontal="right" vertical="center" wrapText="1"/>
    </xf>
    <xf numFmtId="168" fontId="29" fillId="12" borderId="17" xfId="12" applyNumberFormat="1" applyFont="1" applyFill="1" applyBorder="1" applyAlignment="1">
      <alignment vertical="center" wrapText="1"/>
    </xf>
    <xf numFmtId="9" fontId="29" fillId="12" borderId="17" xfId="12" applyNumberFormat="1" applyFont="1" applyFill="1" applyBorder="1" applyAlignment="1">
      <alignment vertical="center" wrapText="1"/>
    </xf>
    <xf numFmtId="165" fontId="29" fillId="12" borderId="17" xfId="12" applyNumberFormat="1" applyFont="1" applyFill="1" applyBorder="1" applyAlignment="1">
      <alignment horizontal="right" vertical="center" wrapText="1"/>
    </xf>
    <xf numFmtId="0" fontId="28" fillId="24" borderId="17" xfId="12" applyNumberFormat="1" applyFont="1" applyFill="1" applyBorder="1" applyAlignment="1">
      <alignment horizontal="center" vertical="center" wrapText="1"/>
    </xf>
    <xf numFmtId="165" fontId="28" fillId="24" borderId="17" xfId="12" applyNumberFormat="1" applyFont="1" applyFill="1" applyBorder="1" applyAlignment="1">
      <alignment horizontal="left" vertical="center" wrapText="1"/>
    </xf>
    <xf numFmtId="164" fontId="29" fillId="24" borderId="17" xfId="12" applyNumberFormat="1" applyFont="1" applyFill="1" applyBorder="1" applyAlignment="1">
      <alignment vertical="center" wrapText="1"/>
    </xf>
    <xf numFmtId="168" fontId="28" fillId="24" borderId="17" xfId="12" applyNumberFormat="1" applyFont="1" applyFill="1" applyBorder="1" applyAlignment="1">
      <alignment vertical="center" wrapText="1"/>
    </xf>
    <xf numFmtId="164" fontId="28" fillId="24" borderId="17" xfId="12" applyNumberFormat="1" applyFont="1" applyFill="1" applyBorder="1" applyAlignment="1">
      <alignment horizontal="right" vertical="center" wrapText="1"/>
    </xf>
    <xf numFmtId="0" fontId="28" fillId="24" borderId="32" xfId="12" applyNumberFormat="1" applyFont="1" applyFill="1" applyBorder="1" applyAlignment="1">
      <alignment horizontal="center" vertical="center" wrapText="1"/>
    </xf>
    <xf numFmtId="165" fontId="28" fillId="24" borderId="32" xfId="12" applyNumberFormat="1" applyFont="1" applyFill="1" applyBorder="1" applyAlignment="1">
      <alignment horizontal="left" vertical="center" wrapText="1"/>
    </xf>
    <xf numFmtId="164" fontId="29" fillId="24" borderId="32" xfId="12" applyNumberFormat="1" applyFont="1" applyFill="1" applyBorder="1" applyAlignment="1">
      <alignment vertical="center" wrapText="1"/>
    </xf>
    <xf numFmtId="168" fontId="28" fillId="24" borderId="32" xfId="12" applyNumberFormat="1" applyFont="1" applyFill="1" applyBorder="1" applyAlignment="1">
      <alignment vertical="center" wrapText="1"/>
    </xf>
    <xf numFmtId="164" fontId="28" fillId="24" borderId="32" xfId="12" applyNumberFormat="1" applyFont="1" applyFill="1" applyBorder="1" applyAlignment="1">
      <alignment horizontal="right" vertical="center" wrapText="1"/>
    </xf>
    <xf numFmtId="165" fontId="34" fillId="25" borderId="17" xfId="12" applyNumberFormat="1" applyFont="1" applyFill="1" applyBorder="1" applyAlignment="1">
      <alignment horizontal="right" vertical="center" wrapText="1"/>
    </xf>
    <xf numFmtId="164" fontId="29" fillId="25" borderId="17" xfId="12" applyNumberFormat="1" applyFont="1" applyFill="1" applyBorder="1" applyAlignment="1">
      <alignment vertical="center" wrapText="1"/>
    </xf>
    <xf numFmtId="168" fontId="34" fillId="25" borderId="17" xfId="12" applyNumberFormat="1" applyFont="1" applyFill="1" applyBorder="1" applyAlignment="1">
      <alignment horizontal="right" vertical="center" wrapText="1"/>
    </xf>
    <xf numFmtId="164" fontId="34" fillId="25" borderId="17" xfId="12" applyNumberFormat="1" applyFont="1" applyFill="1" applyBorder="1" applyAlignment="1">
      <alignment horizontal="right" vertical="center" wrapText="1"/>
    </xf>
    <xf numFmtId="164" fontId="29" fillId="25" borderId="16" xfId="12" applyNumberFormat="1" applyFont="1" applyFill="1" applyBorder="1" applyAlignment="1">
      <alignment vertical="center" wrapText="1"/>
    </xf>
    <xf numFmtId="165" fontId="34" fillId="25" borderId="32" xfId="12" applyNumberFormat="1" applyFont="1" applyFill="1" applyBorder="1" applyAlignment="1">
      <alignment horizontal="right" vertical="center" wrapText="1"/>
    </xf>
    <xf numFmtId="164" fontId="29" fillId="25" borderId="32" xfId="12" applyNumberFormat="1" applyFont="1" applyFill="1" applyBorder="1" applyAlignment="1">
      <alignment vertical="center" wrapText="1"/>
    </xf>
    <xf numFmtId="168" fontId="34" fillId="25" borderId="32" xfId="12" applyNumberFormat="1" applyFont="1" applyFill="1" applyBorder="1" applyAlignment="1">
      <alignment horizontal="right" vertical="center" wrapText="1"/>
    </xf>
    <xf numFmtId="164" fontId="34" fillId="25" borderId="32" xfId="12" applyNumberFormat="1" applyFont="1" applyFill="1" applyBorder="1" applyAlignment="1">
      <alignment horizontal="right" vertical="center" wrapText="1"/>
    </xf>
    <xf numFmtId="164" fontId="29" fillId="25" borderId="34" xfId="12" applyNumberFormat="1" applyFont="1" applyFill="1" applyBorder="1" applyAlignment="1">
      <alignment vertical="center" wrapText="1"/>
    </xf>
    <xf numFmtId="165" fontId="30" fillId="24" borderId="17" xfId="12" applyNumberFormat="1" applyFont="1" applyFill="1" applyBorder="1" applyAlignment="1">
      <alignment horizontal="left" vertical="center" wrapText="1"/>
    </xf>
    <xf numFmtId="10" fontId="29" fillId="24" borderId="29" xfId="12" applyNumberFormat="1" applyFont="1" applyFill="1" applyBorder="1" applyAlignment="1">
      <alignment horizontal="center" vertical="center" wrapText="1"/>
    </xf>
    <xf numFmtId="10" fontId="29" fillId="24" borderId="17" xfId="12" applyNumberFormat="1" applyFont="1" applyFill="1" applyBorder="1" applyAlignment="1">
      <alignment horizontal="center" vertical="center" wrapText="1"/>
    </xf>
    <xf numFmtId="168" fontId="30" fillId="24" borderId="17" xfId="12" applyNumberFormat="1" applyFont="1" applyFill="1" applyBorder="1" applyAlignment="1">
      <alignment horizontal="right" vertical="center" wrapText="1"/>
    </xf>
    <xf numFmtId="164" fontId="30" fillId="24" borderId="17" xfId="12" applyNumberFormat="1" applyFont="1" applyFill="1" applyBorder="1" applyAlignment="1">
      <alignment horizontal="right" vertical="center" wrapText="1"/>
    </xf>
    <xf numFmtId="165" fontId="30" fillId="24" borderId="32" xfId="12" applyNumberFormat="1" applyFont="1" applyFill="1" applyBorder="1" applyAlignment="1">
      <alignment horizontal="left" vertical="center" wrapText="1"/>
    </xf>
    <xf numFmtId="10" fontId="29" fillId="24" borderId="32" xfId="12" applyNumberFormat="1" applyFont="1" applyFill="1" applyBorder="1" applyAlignment="1">
      <alignment horizontal="center" vertical="center" wrapText="1"/>
    </xf>
    <xf numFmtId="168" fontId="30" fillId="24" borderId="32" xfId="12" applyNumberFormat="1" applyFont="1" applyFill="1" applyBorder="1" applyAlignment="1">
      <alignment horizontal="right" vertical="center" wrapText="1"/>
    </xf>
    <xf numFmtId="164" fontId="30" fillId="24" borderId="32" xfId="12" applyNumberFormat="1" applyFont="1" applyFill="1" applyBorder="1" applyAlignment="1">
      <alignment horizontal="right" vertical="center" wrapText="1"/>
    </xf>
    <xf numFmtId="165" fontId="30" fillId="25" borderId="17" xfId="12" applyNumberFormat="1" applyFont="1" applyFill="1" applyBorder="1" applyAlignment="1">
      <alignment horizontal="left" vertical="center" wrapText="1"/>
    </xf>
    <xf numFmtId="10" fontId="29" fillId="25" borderId="30" xfId="12" applyNumberFormat="1" applyFont="1" applyFill="1" applyBorder="1" applyAlignment="1">
      <alignment horizontal="center" vertical="center" wrapText="1"/>
    </xf>
    <xf numFmtId="10" fontId="29" fillId="25" borderId="17" xfId="12" applyNumberFormat="1" applyFont="1" applyFill="1" applyBorder="1" applyAlignment="1">
      <alignment horizontal="center" vertical="center" wrapText="1"/>
    </xf>
    <xf numFmtId="168" fontId="30" fillId="25" borderId="17" xfId="12" applyNumberFormat="1" applyFont="1" applyFill="1" applyBorder="1" applyAlignment="1">
      <alignment horizontal="right" vertical="center" wrapText="1"/>
    </xf>
    <xf numFmtId="164" fontId="30" fillId="25" borderId="17" xfId="12" applyNumberFormat="1" applyFont="1" applyFill="1" applyBorder="1" applyAlignment="1">
      <alignment horizontal="right" vertical="center" wrapText="1"/>
    </xf>
    <xf numFmtId="165" fontId="30" fillId="25" borderId="32" xfId="12" applyNumberFormat="1" applyFont="1" applyFill="1" applyBorder="1" applyAlignment="1">
      <alignment horizontal="left" vertical="center" wrapText="1"/>
    </xf>
    <xf numFmtId="10" fontId="29" fillId="25" borderId="36" xfId="12" applyNumberFormat="1" applyFont="1" applyFill="1" applyBorder="1" applyAlignment="1">
      <alignment horizontal="center" vertical="center" wrapText="1"/>
    </xf>
    <xf numFmtId="10" fontId="29" fillId="25" borderId="32" xfId="12" applyNumberFormat="1" applyFont="1" applyFill="1" applyBorder="1" applyAlignment="1">
      <alignment horizontal="center" vertical="center" wrapText="1"/>
    </xf>
    <xf numFmtId="168" fontId="30" fillId="25" borderId="32" xfId="12" applyNumberFormat="1" applyFont="1" applyFill="1" applyBorder="1" applyAlignment="1">
      <alignment horizontal="right" vertical="center" wrapText="1"/>
    </xf>
    <xf numFmtId="164" fontId="30" fillId="25" borderId="32" xfId="12" applyNumberFormat="1" applyFont="1" applyFill="1" applyBorder="1" applyAlignment="1">
      <alignment horizontal="right" vertical="center" wrapText="1"/>
    </xf>
    <xf numFmtId="10" fontId="29" fillId="24" borderId="30" xfId="12" applyNumberFormat="1" applyFont="1" applyFill="1" applyBorder="1" applyAlignment="1">
      <alignment horizontal="center" vertical="center" wrapText="1"/>
    </xf>
    <xf numFmtId="10" fontId="29" fillId="24" borderId="36" xfId="12" applyNumberFormat="1" applyFont="1" applyFill="1" applyBorder="1" applyAlignment="1">
      <alignment horizontal="center" vertical="center" wrapText="1"/>
    </xf>
    <xf numFmtId="10" fontId="29" fillId="24" borderId="21" xfId="12" applyNumberFormat="1" applyFont="1" applyFill="1" applyBorder="1" applyAlignment="1">
      <alignment horizontal="center" vertical="center" wrapText="1"/>
    </xf>
    <xf numFmtId="10" fontId="29" fillId="25" borderId="29" xfId="12" applyNumberFormat="1" applyFont="1" applyFill="1" applyBorder="1" applyAlignment="1">
      <alignment horizontal="center" vertical="center" wrapText="1"/>
    </xf>
    <xf numFmtId="10" fontId="29" fillId="25" borderId="21" xfId="12" applyNumberFormat="1" applyFont="1" applyFill="1" applyBorder="1" applyAlignment="1">
      <alignment horizontal="center" vertical="center" wrapText="1"/>
    </xf>
    <xf numFmtId="165" fontId="28" fillId="24" borderId="17" xfId="12" applyNumberFormat="1" applyFont="1" applyFill="1" applyBorder="1" applyAlignment="1">
      <alignment vertical="center" wrapText="1"/>
    </xf>
    <xf numFmtId="10" fontId="28" fillId="24" borderId="17" xfId="12" applyNumberFormat="1" applyFont="1" applyFill="1" applyBorder="1" applyAlignment="1">
      <alignment horizontal="center" vertical="center" wrapText="1"/>
    </xf>
    <xf numFmtId="164" fontId="28" fillId="24" borderId="17" xfId="12" applyNumberFormat="1" applyFont="1" applyFill="1" applyBorder="1" applyAlignment="1">
      <alignment vertical="center" wrapText="1"/>
    </xf>
    <xf numFmtId="165" fontId="28" fillId="24" borderId="32" xfId="12" applyNumberFormat="1" applyFont="1" applyFill="1" applyBorder="1" applyAlignment="1">
      <alignment vertical="center" wrapText="1"/>
    </xf>
    <xf numFmtId="10" fontId="28" fillId="24" borderId="32" xfId="12" applyNumberFormat="1" applyFont="1" applyFill="1" applyBorder="1" applyAlignment="1">
      <alignment horizontal="center" vertical="center" wrapText="1"/>
    </xf>
    <xf numFmtId="164" fontId="28" fillId="24" borderId="32" xfId="12" applyNumberFormat="1" applyFont="1" applyFill="1" applyBorder="1" applyAlignment="1">
      <alignment vertical="center" wrapText="1"/>
    </xf>
    <xf numFmtId="10" fontId="29" fillId="25" borderId="17" xfId="12" applyNumberFormat="1" applyFont="1" applyFill="1" applyBorder="1" applyAlignment="1">
      <alignment vertical="center" wrapText="1"/>
    </xf>
    <xf numFmtId="10" fontId="29" fillId="25" borderId="32" xfId="12" applyNumberFormat="1" applyFont="1" applyFill="1" applyBorder="1" applyAlignment="1">
      <alignment vertical="center" wrapText="1"/>
    </xf>
    <xf numFmtId="164" fontId="29" fillId="24" borderId="29" xfId="12" applyNumberFormat="1" applyFont="1" applyFill="1" applyBorder="1" applyAlignment="1">
      <alignment horizontal="center" vertical="center" wrapText="1"/>
    </xf>
    <xf numFmtId="10" fontId="29" fillId="24" borderId="16" xfId="12" applyNumberFormat="1" applyFont="1" applyFill="1" applyBorder="1" applyAlignment="1">
      <alignment vertical="center" wrapText="1"/>
    </xf>
    <xf numFmtId="10" fontId="29" fillId="24" borderId="34" xfId="12" applyNumberFormat="1" applyFont="1" applyFill="1" applyBorder="1" applyAlignment="1">
      <alignment vertical="center" wrapText="1"/>
    </xf>
    <xf numFmtId="164" fontId="29" fillId="25" borderId="30" xfId="12" applyNumberFormat="1" applyFont="1" applyFill="1" applyBorder="1" applyAlignment="1">
      <alignment horizontal="center" vertical="center" wrapText="1"/>
    </xf>
    <xf numFmtId="164" fontId="29" fillId="25" borderId="36" xfId="12" applyNumberFormat="1" applyFont="1" applyFill="1" applyBorder="1" applyAlignment="1">
      <alignment horizontal="center" vertical="center" wrapText="1"/>
    </xf>
    <xf numFmtId="164" fontId="29" fillId="24" borderId="30" xfId="12" applyNumberFormat="1" applyFont="1" applyFill="1" applyBorder="1" applyAlignment="1">
      <alignment horizontal="center" vertical="center" wrapText="1"/>
    </xf>
    <xf numFmtId="164" fontId="29" fillId="24" borderId="36" xfId="12" applyNumberFormat="1" applyFont="1" applyFill="1" applyBorder="1" applyAlignment="1">
      <alignment horizontal="center" vertical="center" wrapText="1"/>
    </xf>
    <xf numFmtId="164" fontId="29" fillId="24" borderId="21" xfId="12" applyNumberFormat="1" applyFont="1" applyFill="1" applyBorder="1" applyAlignment="1">
      <alignment horizontal="center" vertical="center" wrapText="1"/>
    </xf>
    <xf numFmtId="164" fontId="29" fillId="25" borderId="29" xfId="12" applyNumberFormat="1" applyFont="1" applyFill="1" applyBorder="1" applyAlignment="1">
      <alignment horizontal="center" vertical="center" wrapText="1"/>
    </xf>
    <xf numFmtId="164" fontId="29" fillId="25" borderId="32" xfId="12" applyNumberFormat="1" applyFont="1" applyFill="1" applyBorder="1" applyAlignment="1">
      <alignment horizontal="center" vertical="center" wrapText="1"/>
    </xf>
    <xf numFmtId="164" fontId="29" fillId="25" borderId="21" xfId="12" applyNumberFormat="1" applyFont="1" applyFill="1" applyBorder="1" applyAlignment="1">
      <alignment horizontal="center" vertical="center" wrapText="1"/>
    </xf>
    <xf numFmtId="0" fontId="28" fillId="25" borderId="17" xfId="12" applyNumberFormat="1" applyFont="1" applyFill="1" applyBorder="1" applyAlignment="1">
      <alignment horizontal="center" vertical="center" wrapText="1"/>
    </xf>
    <xf numFmtId="165" fontId="28" fillId="25" borderId="17" xfId="12" applyNumberFormat="1" applyFont="1" applyFill="1" applyBorder="1" applyAlignment="1">
      <alignment vertical="center" wrapText="1"/>
    </xf>
    <xf numFmtId="9" fontId="28" fillId="25" borderId="17" xfId="12" applyNumberFormat="1" applyFont="1" applyFill="1" applyBorder="1" applyAlignment="1">
      <alignment horizontal="center" vertical="center" wrapText="1"/>
    </xf>
    <xf numFmtId="169" fontId="28" fillId="25" borderId="17" xfId="12" applyNumberFormat="1" applyFont="1" applyFill="1" applyBorder="1" applyAlignment="1">
      <alignment horizontal="center" vertical="center" wrapText="1"/>
    </xf>
    <xf numFmtId="168" fontId="28" fillId="25" borderId="17" xfId="12" applyNumberFormat="1" applyFont="1" applyFill="1" applyBorder="1" applyAlignment="1">
      <alignment vertical="center" wrapText="1"/>
    </xf>
    <xf numFmtId="164" fontId="28" fillId="25" borderId="17" xfId="12" applyNumberFormat="1" applyFont="1" applyFill="1" applyBorder="1" applyAlignment="1">
      <alignment vertical="center" wrapText="1"/>
    </xf>
    <xf numFmtId="0" fontId="28" fillId="25" borderId="32" xfId="12" applyNumberFormat="1" applyFont="1" applyFill="1" applyBorder="1" applyAlignment="1">
      <alignment horizontal="center" vertical="center" wrapText="1"/>
    </xf>
    <xf numFmtId="165" fontId="28" fillId="25" borderId="32" xfId="12" applyNumberFormat="1" applyFont="1" applyFill="1" applyBorder="1" applyAlignment="1">
      <alignment vertical="center" wrapText="1"/>
    </xf>
    <xf numFmtId="9" fontId="28" fillId="25" borderId="32" xfId="12" applyNumberFormat="1" applyFont="1" applyFill="1" applyBorder="1" applyAlignment="1">
      <alignment horizontal="center" vertical="center" wrapText="1"/>
    </xf>
    <xf numFmtId="169" fontId="28" fillId="25" borderId="32" xfId="12" applyNumberFormat="1" applyFont="1" applyFill="1" applyBorder="1" applyAlignment="1">
      <alignment horizontal="center" vertical="center" wrapText="1"/>
    </xf>
    <xf numFmtId="168" fontId="28" fillId="25" borderId="32" xfId="12" applyNumberFormat="1" applyFont="1" applyFill="1" applyBorder="1" applyAlignment="1">
      <alignment vertical="center" wrapText="1"/>
    </xf>
    <xf numFmtId="164" fontId="28" fillId="25" borderId="32" xfId="12" applyNumberFormat="1" applyFont="1" applyFill="1" applyBorder="1" applyAlignment="1">
      <alignment vertical="center" wrapText="1"/>
    </xf>
    <xf numFmtId="165" fontId="34" fillId="24" borderId="17" xfId="12" applyNumberFormat="1" applyFont="1" applyFill="1" applyBorder="1" applyAlignment="1">
      <alignment horizontal="right" vertical="center" wrapText="1"/>
    </xf>
    <xf numFmtId="10" fontId="28" fillId="24" borderId="17" xfId="12" applyNumberFormat="1" applyFont="1" applyFill="1" applyBorder="1" applyAlignment="1">
      <alignment vertical="center" wrapText="1"/>
    </xf>
    <xf numFmtId="165" fontId="34" fillId="24" borderId="32" xfId="12" applyNumberFormat="1" applyFont="1" applyFill="1" applyBorder="1" applyAlignment="1">
      <alignment horizontal="right" vertical="center" wrapText="1"/>
    </xf>
    <xf numFmtId="10" fontId="28" fillId="24" borderId="32" xfId="12" applyNumberFormat="1" applyFont="1" applyFill="1" applyBorder="1" applyAlignment="1">
      <alignment vertical="center" wrapText="1"/>
    </xf>
    <xf numFmtId="165" fontId="30" fillId="25" borderId="17" xfId="12" applyNumberFormat="1" applyFont="1" applyFill="1" applyBorder="1" applyAlignment="1">
      <alignment horizontal="right" vertical="center" wrapText="1"/>
    </xf>
    <xf numFmtId="168" fontId="29" fillId="25" borderId="17" xfId="12" applyNumberFormat="1" applyFont="1" applyFill="1" applyBorder="1" applyAlignment="1">
      <alignment vertical="center" wrapText="1"/>
    </xf>
    <xf numFmtId="165" fontId="30" fillId="25" borderId="32" xfId="12" applyNumberFormat="1" applyFont="1" applyFill="1" applyBorder="1" applyAlignment="1">
      <alignment horizontal="right" vertical="center" wrapText="1"/>
    </xf>
    <xf numFmtId="168" fontId="29" fillId="25" borderId="32" xfId="12" applyNumberFormat="1" applyFont="1" applyFill="1" applyBorder="1" applyAlignment="1">
      <alignment vertical="center" wrapText="1"/>
    </xf>
    <xf numFmtId="165" fontId="30" fillId="24" borderId="17" xfId="12" applyNumberFormat="1" applyFont="1" applyFill="1" applyBorder="1" applyAlignment="1">
      <alignment horizontal="right" vertical="center" wrapText="1"/>
    </xf>
    <xf numFmtId="168" fontId="29" fillId="24" borderId="17" xfId="12" applyNumberFormat="1" applyFont="1" applyFill="1" applyBorder="1" applyAlignment="1">
      <alignment vertical="center" wrapText="1"/>
    </xf>
    <xf numFmtId="165" fontId="30" fillId="24" borderId="32" xfId="12" applyNumberFormat="1" applyFont="1" applyFill="1" applyBorder="1" applyAlignment="1">
      <alignment horizontal="right" vertical="center" wrapText="1"/>
    </xf>
    <xf numFmtId="168" fontId="29" fillId="24" borderId="32" xfId="12" applyNumberFormat="1" applyFont="1" applyFill="1" applyBorder="1" applyAlignment="1">
      <alignment vertical="center" wrapText="1"/>
    </xf>
    <xf numFmtId="9" fontId="29" fillId="24" borderId="17" xfId="12" applyNumberFormat="1" applyFont="1" applyFill="1" applyBorder="1" applyAlignment="1">
      <alignment vertical="center" wrapText="1"/>
    </xf>
    <xf numFmtId="9" fontId="29" fillId="24" borderId="32" xfId="12" applyNumberFormat="1" applyFont="1" applyFill="1" applyBorder="1" applyAlignment="1">
      <alignment vertical="center" wrapText="1"/>
    </xf>
    <xf numFmtId="165" fontId="29" fillId="24" borderId="17" xfId="12" applyNumberFormat="1" applyFont="1" applyFill="1" applyBorder="1" applyAlignment="1">
      <alignment horizontal="right" vertical="center" wrapText="1"/>
    </xf>
    <xf numFmtId="168" fontId="28" fillId="26" borderId="17" xfId="12" applyNumberFormat="1" applyFont="1" applyFill="1" applyBorder="1" applyAlignment="1">
      <alignment horizontal="center" vertical="center" wrapText="1"/>
    </xf>
    <xf numFmtId="168" fontId="31" fillId="26" borderId="17" xfId="12" applyNumberFormat="1" applyFont="1" applyFill="1" applyBorder="1" applyAlignment="1">
      <alignment horizontal="center" vertical="center" wrapText="1"/>
    </xf>
    <xf numFmtId="168" fontId="31" fillId="26" borderId="33" xfId="12" applyNumberFormat="1" applyFont="1" applyFill="1" applyBorder="1" applyAlignment="1">
      <alignment horizontal="center" vertical="center" wrapText="1"/>
    </xf>
    <xf numFmtId="0" fontId="35" fillId="24" borderId="32" xfId="12" applyNumberFormat="1" applyFont="1" applyFill="1" applyBorder="1" applyAlignment="1">
      <alignment horizontal="center" vertical="center" wrapText="1"/>
    </xf>
    <xf numFmtId="0" fontId="35" fillId="24" borderId="32" xfId="12" applyNumberFormat="1" applyFont="1" applyFill="1" applyBorder="1" applyAlignment="1">
      <alignment horizontal="right" vertical="center" wrapText="1"/>
    </xf>
    <xf numFmtId="168" fontId="28" fillId="24" borderId="32" xfId="12" applyNumberFormat="1" applyFont="1" applyFill="1" applyBorder="1" applyAlignment="1">
      <alignment horizontal="right" vertical="center" wrapText="1"/>
    </xf>
    <xf numFmtId="164" fontId="29" fillId="25" borderId="34" xfId="12" applyNumberFormat="1" applyFont="1" applyFill="1" applyBorder="1" applyAlignment="1">
      <alignment horizontal="right" vertical="center" wrapText="1"/>
    </xf>
    <xf numFmtId="165" fontId="36" fillId="24" borderId="32" xfId="12" applyNumberFormat="1" applyFont="1" applyFill="1" applyBorder="1" applyAlignment="1">
      <alignment horizontal="left" vertical="center" wrapText="1"/>
    </xf>
    <xf numFmtId="165" fontId="36" fillId="24" borderId="32" xfId="12" applyNumberFormat="1" applyFont="1" applyFill="1" applyBorder="1" applyAlignment="1">
      <alignment horizontal="right" vertical="center" wrapText="1"/>
    </xf>
    <xf numFmtId="10" fontId="29" fillId="24" borderId="32" xfId="12" applyNumberFormat="1" applyFont="1" applyFill="1" applyBorder="1" applyAlignment="1">
      <alignment horizontal="right" vertical="center" wrapText="1"/>
    </xf>
    <xf numFmtId="168" fontId="36" fillId="24" borderId="32" xfId="12" applyNumberFormat="1" applyFont="1" applyFill="1" applyBorder="1" applyAlignment="1">
      <alignment horizontal="right" vertical="center" wrapText="1"/>
    </xf>
    <xf numFmtId="165" fontId="36" fillId="25" borderId="32" xfId="12" applyNumberFormat="1" applyFont="1" applyFill="1" applyBorder="1" applyAlignment="1">
      <alignment horizontal="left" vertical="center" wrapText="1"/>
    </xf>
    <xf numFmtId="165" fontId="36" fillId="25" borderId="32" xfId="12" applyNumberFormat="1" applyFont="1" applyFill="1" applyBorder="1" applyAlignment="1">
      <alignment horizontal="right" vertical="center" wrapText="1"/>
    </xf>
    <xf numFmtId="10" fontId="29" fillId="25" borderId="32" xfId="12" applyNumberFormat="1" applyFont="1" applyFill="1" applyBorder="1" applyAlignment="1">
      <alignment horizontal="right" vertical="center" wrapText="1"/>
    </xf>
    <xf numFmtId="168" fontId="36" fillId="25" borderId="32" xfId="12" applyNumberFormat="1" applyFont="1" applyFill="1" applyBorder="1" applyAlignment="1">
      <alignment horizontal="right" vertical="center" wrapText="1"/>
    </xf>
    <xf numFmtId="10" fontId="29" fillId="24" borderId="34" xfId="12" applyNumberFormat="1" applyFont="1" applyFill="1" applyBorder="1" applyAlignment="1">
      <alignment horizontal="right" vertical="center" wrapText="1"/>
    </xf>
    <xf numFmtId="164" fontId="29" fillId="25" borderId="32" xfId="12" applyNumberFormat="1" applyFont="1" applyFill="1" applyBorder="1" applyAlignment="1">
      <alignment horizontal="right" vertical="center" wrapText="1"/>
    </xf>
    <xf numFmtId="0" fontId="35" fillId="25" borderId="32" xfId="12" applyNumberFormat="1" applyFont="1" applyFill="1" applyBorder="1" applyAlignment="1">
      <alignment horizontal="center" vertical="center" wrapText="1"/>
    </xf>
    <xf numFmtId="0" fontId="35" fillId="25" borderId="32" xfId="12" applyNumberFormat="1" applyFont="1" applyFill="1" applyBorder="1" applyAlignment="1">
      <alignment horizontal="right" vertical="center" wrapText="1"/>
    </xf>
    <xf numFmtId="10" fontId="28" fillId="24" borderId="32" xfId="12" applyNumberFormat="1" applyFont="1" applyFill="1" applyBorder="1" applyAlignment="1">
      <alignment horizontal="right" vertical="center" wrapText="1"/>
    </xf>
    <xf numFmtId="9" fontId="32" fillId="24" borderId="32" xfId="12" applyNumberFormat="1" applyFont="1" applyFill="1" applyBorder="1" applyAlignment="1">
      <alignment vertical="center" wrapText="1"/>
    </xf>
    <xf numFmtId="168" fontId="29" fillId="24" borderId="32" xfId="12" applyNumberFormat="1" applyFont="1" applyFill="1" applyBorder="1" applyAlignment="1">
      <alignment horizontal="right" vertical="center" wrapText="1"/>
    </xf>
    <xf numFmtId="0" fontId="28" fillId="12" borderId="17" xfId="12" applyNumberFormat="1" applyFont="1" applyFill="1" applyBorder="1" applyAlignment="1">
      <alignment horizontal="center" vertical="center"/>
    </xf>
    <xf numFmtId="0" fontId="30" fillId="12" borderId="16" xfId="12" applyNumberFormat="1" applyFont="1" applyFill="1" applyBorder="1"/>
    <xf numFmtId="0" fontId="30" fillId="12" borderId="17" xfId="12" applyNumberFormat="1" applyFont="1" applyFill="1" applyBorder="1" applyAlignment="1">
      <alignment horizontal="center" vertical="center"/>
    </xf>
    <xf numFmtId="0" fontId="30" fillId="12" borderId="17" xfId="12" applyNumberFormat="1" applyFont="1" applyFill="1" applyBorder="1" applyAlignment="1">
      <alignment horizontal="left" vertical="center"/>
    </xf>
    <xf numFmtId="164" fontId="30" fillId="12" borderId="17" xfId="12" applyNumberFormat="1" applyFont="1" applyFill="1" applyBorder="1"/>
    <xf numFmtId="164" fontId="30" fillId="12" borderId="16" xfId="12" applyNumberFormat="1" applyFont="1" applyFill="1" applyBorder="1"/>
    <xf numFmtId="0" fontId="30" fillId="12" borderId="16" xfId="12" applyNumberFormat="1" applyFont="1" applyFill="1" applyBorder="1" applyAlignment="1">
      <alignment horizontal="center" vertical="center"/>
    </xf>
    <xf numFmtId="168" fontId="30" fillId="12" borderId="16" xfId="12" applyNumberFormat="1" applyFont="1" applyFill="1" applyBorder="1"/>
    <xf numFmtId="0" fontId="30" fillId="12" borderId="16" xfId="12" applyNumberFormat="1" applyFont="1" applyFill="1" applyBorder="1" applyAlignment="1">
      <alignment wrapText="1"/>
    </xf>
    <xf numFmtId="0" fontId="30" fillId="12" borderId="17" xfId="12" applyNumberFormat="1" applyFont="1" applyFill="1" applyBorder="1" applyAlignment="1">
      <alignment horizontal="center" vertical="center" wrapText="1"/>
    </xf>
    <xf numFmtId="0" fontId="30" fillId="12" borderId="17" xfId="12" applyNumberFormat="1" applyFont="1" applyFill="1" applyBorder="1" applyAlignment="1">
      <alignment horizontal="left" vertical="center" wrapText="1"/>
    </xf>
    <xf numFmtId="164" fontId="30" fillId="12" borderId="17" xfId="12" applyNumberFormat="1" applyFont="1" applyFill="1" applyBorder="1" applyAlignment="1">
      <alignment wrapText="1"/>
    </xf>
    <xf numFmtId="164" fontId="30" fillId="12" borderId="16" xfId="12" applyNumberFormat="1" applyFont="1" applyFill="1" applyBorder="1" applyAlignment="1">
      <alignment wrapText="1"/>
    </xf>
    <xf numFmtId="0" fontId="30" fillId="12" borderId="16" xfId="12" applyNumberFormat="1" applyFont="1" applyFill="1" applyBorder="1" applyAlignment="1">
      <alignment horizontal="center" vertical="center" wrapText="1"/>
    </xf>
    <xf numFmtId="168" fontId="30" fillId="12" borderId="16" xfId="12" applyNumberFormat="1" applyFont="1" applyFill="1" applyBorder="1" applyAlignment="1">
      <alignment wrapText="1"/>
    </xf>
    <xf numFmtId="0" fontId="30" fillId="12" borderId="16" xfId="12" applyNumberFormat="1" applyFont="1" applyFill="1" applyBorder="1" applyAlignment="1">
      <alignment vertical="center" wrapText="1"/>
    </xf>
    <xf numFmtId="164" fontId="30" fillId="12" borderId="17" xfId="12" applyNumberFormat="1" applyFont="1" applyFill="1" applyBorder="1" applyAlignment="1">
      <alignment vertical="center" wrapText="1"/>
    </xf>
    <xf numFmtId="164" fontId="30" fillId="12" borderId="16" xfId="12" applyNumberFormat="1" applyFont="1" applyFill="1" applyBorder="1" applyAlignment="1">
      <alignment vertical="center" wrapText="1"/>
    </xf>
    <xf numFmtId="168" fontId="30" fillId="12" borderId="16" xfId="12" applyNumberFormat="1" applyFont="1" applyFill="1" applyBorder="1" applyAlignment="1">
      <alignment vertical="center" wrapText="1"/>
    </xf>
    <xf numFmtId="0" fontId="30" fillId="24" borderId="17" xfId="12" applyNumberFormat="1" applyFont="1" applyFill="1" applyBorder="1" applyAlignment="1">
      <alignment horizontal="center" vertical="center" wrapText="1"/>
    </xf>
    <xf numFmtId="0" fontId="30" fillId="24" borderId="17" xfId="12" applyNumberFormat="1" applyFont="1" applyFill="1" applyBorder="1" applyAlignment="1">
      <alignment horizontal="left" vertical="center" wrapText="1"/>
    </xf>
    <xf numFmtId="164" fontId="30" fillId="24" borderId="17" xfId="12" applyNumberFormat="1" applyFont="1" applyFill="1" applyBorder="1" applyAlignment="1">
      <alignment vertical="center" wrapText="1"/>
    </xf>
    <xf numFmtId="164" fontId="30" fillId="24" borderId="16" xfId="12" applyNumberFormat="1" applyFont="1" applyFill="1" applyBorder="1" applyAlignment="1">
      <alignment vertical="center" wrapText="1"/>
    </xf>
    <xf numFmtId="0" fontId="30" fillId="24" borderId="32" xfId="12" applyNumberFormat="1" applyFont="1" applyFill="1" applyBorder="1" applyAlignment="1">
      <alignment horizontal="center" vertical="center" wrapText="1"/>
    </xf>
    <xf numFmtId="0" fontId="30" fillId="24" borderId="32" xfId="12" applyNumberFormat="1" applyFont="1" applyFill="1" applyBorder="1" applyAlignment="1">
      <alignment horizontal="left" vertical="center" wrapText="1"/>
    </xf>
    <xf numFmtId="164" fontId="30" fillId="24" borderId="32" xfId="12" applyNumberFormat="1" applyFont="1" applyFill="1" applyBorder="1" applyAlignment="1">
      <alignment vertical="center" wrapText="1"/>
    </xf>
    <xf numFmtId="164" fontId="30" fillId="24" borderId="34" xfId="12" applyNumberFormat="1" applyFont="1" applyFill="1" applyBorder="1" applyAlignment="1">
      <alignment vertical="center" wrapText="1"/>
    </xf>
    <xf numFmtId="0" fontId="30" fillId="25" borderId="16" xfId="12" applyNumberFormat="1" applyFont="1" applyFill="1" applyBorder="1" applyAlignment="1">
      <alignment horizontal="center" vertical="center" wrapText="1"/>
    </xf>
    <xf numFmtId="168" fontId="30" fillId="25" borderId="16" xfId="12" applyNumberFormat="1" applyFont="1" applyFill="1" applyBorder="1" applyAlignment="1">
      <alignment vertical="center" wrapText="1"/>
    </xf>
    <xf numFmtId="0" fontId="30" fillId="25" borderId="16" xfId="12" applyNumberFormat="1" applyFont="1" applyFill="1" applyBorder="1" applyAlignment="1">
      <alignment vertical="center" wrapText="1"/>
    </xf>
    <xf numFmtId="0" fontId="30" fillId="25" borderId="34" xfId="12" applyNumberFormat="1" applyFont="1" applyFill="1" applyBorder="1" applyAlignment="1">
      <alignment horizontal="center" vertical="center" wrapText="1"/>
    </xf>
    <xf numFmtId="168" fontId="30" fillId="25" borderId="34" xfId="12" applyNumberFormat="1" applyFont="1" applyFill="1" applyBorder="1" applyAlignment="1">
      <alignment vertical="center" wrapText="1"/>
    </xf>
    <xf numFmtId="0" fontId="30" fillId="25" borderId="34" xfId="12" applyNumberFormat="1" applyFont="1" applyFill="1" applyBorder="1" applyAlignment="1">
      <alignment vertical="center" wrapText="1"/>
    </xf>
    <xf numFmtId="0" fontId="30" fillId="26" borderId="16" xfId="12" applyNumberFormat="1" applyFont="1" applyFill="1" applyBorder="1" applyAlignment="1">
      <alignment vertical="center" wrapText="1"/>
    </xf>
    <xf numFmtId="0" fontId="31" fillId="26" borderId="16" xfId="12" applyNumberFormat="1" applyFont="1" applyFill="1" applyBorder="1" applyAlignment="1">
      <alignment vertical="center" wrapText="1"/>
    </xf>
    <xf numFmtId="0" fontId="31" fillId="26" borderId="35" xfId="12" applyNumberFormat="1" applyFont="1" applyFill="1" applyBorder="1" applyAlignment="1">
      <alignment vertical="center" wrapText="1"/>
    </xf>
    <xf numFmtId="0" fontId="31" fillId="26" borderId="35" xfId="12" applyNumberFormat="1" applyFont="1" applyFill="1" applyBorder="1" applyAlignment="1">
      <alignment horizontal="center" vertical="center" wrapText="1"/>
    </xf>
    <xf numFmtId="0" fontId="37" fillId="24" borderId="32" xfId="12" applyNumberFormat="1" applyFont="1" applyFill="1" applyBorder="1" applyAlignment="1">
      <alignment horizontal="center" vertical="center" wrapText="1"/>
    </xf>
    <xf numFmtId="0" fontId="37" fillId="24" borderId="32" xfId="12" applyNumberFormat="1" applyFont="1" applyFill="1" applyBorder="1" applyAlignment="1">
      <alignment horizontal="right" vertical="center" wrapText="1"/>
    </xf>
    <xf numFmtId="164" fontId="36" fillId="24" borderId="32" xfId="12" applyNumberFormat="1" applyFont="1" applyFill="1" applyBorder="1" applyAlignment="1">
      <alignment vertical="center" wrapText="1"/>
    </xf>
    <xf numFmtId="164" fontId="36" fillId="24" borderId="32" xfId="12" applyNumberFormat="1" applyFont="1" applyFill="1" applyBorder="1" applyAlignment="1">
      <alignment horizontal="right" vertical="center" wrapText="1"/>
    </xf>
    <xf numFmtId="164" fontId="30" fillId="24" borderId="34" xfId="12" applyNumberFormat="1" applyFont="1" applyFill="1" applyBorder="1" applyAlignment="1">
      <alignment horizontal="right" vertical="center" wrapText="1"/>
    </xf>
    <xf numFmtId="0" fontId="30" fillId="25" borderId="34" xfId="12" applyNumberFormat="1" applyFont="1" applyFill="1" applyBorder="1" applyAlignment="1">
      <alignment horizontal="right" vertical="center" wrapText="1"/>
    </xf>
    <xf numFmtId="165" fontId="28" fillId="12" borderId="17" xfId="12" applyNumberFormat="1" applyFont="1" applyFill="1" applyBorder="1" applyAlignment="1">
      <alignment horizontal="center" vertical="center"/>
    </xf>
    <xf numFmtId="165" fontId="30" fillId="12" borderId="17" xfId="12" applyNumberFormat="1" applyFont="1" applyFill="1" applyBorder="1" applyAlignment="1">
      <alignment horizontal="left" vertical="center"/>
    </xf>
    <xf numFmtId="165" fontId="30" fillId="12" borderId="17" xfId="12" applyNumberFormat="1" applyFont="1" applyFill="1" applyBorder="1" applyAlignment="1">
      <alignment horizontal="center" vertical="center"/>
    </xf>
    <xf numFmtId="165" fontId="28" fillId="12" borderId="18" xfId="12" applyNumberFormat="1" applyFont="1" applyFill="1" applyBorder="1" applyAlignment="1">
      <alignment horizontal="center" vertical="center"/>
    </xf>
    <xf numFmtId="165" fontId="28" fillId="12" borderId="31" xfId="12" applyNumberFormat="1" applyFont="1" applyFill="1" applyBorder="1" applyAlignment="1">
      <alignment horizontal="center" vertical="center"/>
    </xf>
    <xf numFmtId="165" fontId="28" fillId="12" borderId="23" xfId="12" applyNumberFormat="1" applyFont="1" applyFill="1" applyBorder="1" applyAlignment="1">
      <alignment horizontal="center" vertical="center"/>
    </xf>
    <xf numFmtId="165" fontId="28" fillId="12" borderId="17" xfId="12" applyNumberFormat="1" applyFont="1" applyFill="1" applyBorder="1" applyAlignment="1">
      <alignment horizontal="center" vertical="center" wrapText="1"/>
    </xf>
    <xf numFmtId="165" fontId="28" fillId="12" borderId="18" xfId="12" applyNumberFormat="1" applyFont="1" applyFill="1" applyBorder="1" applyAlignment="1">
      <alignment horizontal="center" vertical="center" wrapText="1"/>
    </xf>
    <xf numFmtId="165" fontId="28" fillId="12" borderId="31" xfId="12" applyNumberFormat="1" applyFont="1" applyFill="1" applyBorder="1" applyAlignment="1">
      <alignment horizontal="center" vertical="center" wrapText="1"/>
    </xf>
    <xf numFmtId="165" fontId="28" fillId="12" borderId="23" xfId="12" applyNumberFormat="1" applyFont="1" applyFill="1" applyBorder="1" applyAlignment="1">
      <alignment horizontal="center" vertical="center" wrapText="1"/>
    </xf>
    <xf numFmtId="165" fontId="28" fillId="24" borderId="17" xfId="12" applyNumberFormat="1" applyFont="1" applyFill="1" applyBorder="1" applyAlignment="1">
      <alignment horizontal="center" vertical="center" wrapText="1"/>
    </xf>
    <xf numFmtId="165" fontId="28" fillId="24" borderId="32" xfId="12" applyNumberFormat="1" applyFont="1" applyFill="1" applyBorder="1" applyAlignment="1">
      <alignment horizontal="center" vertical="center" wrapText="1"/>
    </xf>
    <xf numFmtId="0" fontId="30" fillId="25" borderId="17" xfId="12" applyNumberFormat="1" applyFont="1" applyFill="1" applyBorder="1" applyAlignment="1">
      <alignment horizontal="center" vertical="center" wrapText="1"/>
    </xf>
    <xf numFmtId="0" fontId="30" fillId="25" borderId="32" xfId="12" applyNumberFormat="1" applyFont="1" applyFill="1" applyBorder="1" applyAlignment="1">
      <alignment horizontal="center" vertical="center" wrapText="1"/>
    </xf>
    <xf numFmtId="165" fontId="28" fillId="25" borderId="18" xfId="12" applyNumberFormat="1" applyFont="1" applyFill="1" applyBorder="1" applyAlignment="1">
      <alignment horizontal="center" vertical="center" wrapText="1"/>
    </xf>
    <xf numFmtId="165" fontId="28" fillId="25" borderId="31" xfId="12" applyNumberFormat="1" applyFont="1" applyFill="1" applyBorder="1" applyAlignment="1">
      <alignment horizontal="center" vertical="center" wrapText="1"/>
    </xf>
    <xf numFmtId="165" fontId="28" fillId="25" borderId="23" xfId="12" applyNumberFormat="1" applyFont="1" applyFill="1" applyBorder="1" applyAlignment="1">
      <alignment horizontal="center" vertical="center" wrapText="1"/>
    </xf>
    <xf numFmtId="165" fontId="28" fillId="25" borderId="37" xfId="12" applyNumberFormat="1" applyFont="1" applyFill="1" applyBorder="1" applyAlignment="1">
      <alignment horizontal="center" vertical="center" wrapText="1"/>
    </xf>
    <xf numFmtId="165" fontId="28" fillId="25" borderId="38" xfId="12" applyNumberFormat="1" applyFont="1" applyFill="1" applyBorder="1" applyAlignment="1">
      <alignment horizontal="center" vertical="center" wrapText="1"/>
    </xf>
    <xf numFmtId="165" fontId="28" fillId="25" borderId="39" xfId="12" applyNumberFormat="1" applyFont="1" applyFill="1" applyBorder="1" applyAlignment="1">
      <alignment horizontal="center" vertical="center" wrapText="1"/>
    </xf>
    <xf numFmtId="0" fontId="28" fillId="15" borderId="19" xfId="12" applyNumberFormat="1" applyFont="1" applyFill="1" applyBorder="1" applyAlignment="1">
      <alignment horizontal="center"/>
    </xf>
    <xf numFmtId="165" fontId="28" fillId="15" borderId="20" xfId="12" applyNumberFormat="1" applyFont="1" applyFill="1" applyBorder="1" applyAlignment="1">
      <alignment horizontal="center"/>
    </xf>
    <xf numFmtId="165" fontId="28" fillId="15" borderId="20" xfId="12" applyNumberFormat="1" applyFont="1" applyFill="1" applyBorder="1" applyAlignment="1">
      <alignment wrapText="1"/>
    </xf>
    <xf numFmtId="165" fontId="30" fillId="15" borderId="20" xfId="12" applyNumberFormat="1" applyFont="1" applyFill="1" applyBorder="1" applyAlignment="1">
      <alignment horizontal="left" wrapText="1"/>
    </xf>
    <xf numFmtId="165" fontId="30" fillId="15" borderId="20" xfId="12" applyNumberFormat="1" applyFont="1" applyFill="1" applyBorder="1" applyAlignment="1">
      <alignment horizontal="center"/>
    </xf>
    <xf numFmtId="165" fontId="30" fillId="15" borderId="20" xfId="12" applyNumberFormat="1" applyFont="1" applyFill="1" applyBorder="1" applyAlignment="1">
      <alignment horizontal="center" wrapText="1"/>
    </xf>
    <xf numFmtId="0" fontId="30" fillId="15" borderId="20" xfId="12" applyNumberFormat="1" applyFont="1" applyFill="1" applyBorder="1" applyAlignment="1">
      <alignment horizontal="center"/>
    </xf>
    <xf numFmtId="164" fontId="30" fillId="15" borderId="20" xfId="12" applyNumberFormat="1" applyFont="1" applyFill="1" applyBorder="1"/>
    <xf numFmtId="165" fontId="28" fillId="15" borderId="17" xfId="12" applyNumberFormat="1" applyFont="1" applyFill="1" applyBorder="1"/>
    <xf numFmtId="10" fontId="28" fillId="15" borderId="17" xfId="12" applyNumberFormat="1" applyFont="1" applyFill="1" applyBorder="1" applyAlignment="1">
      <alignment horizontal="center"/>
    </xf>
    <xf numFmtId="164" fontId="28" fillId="15" borderId="17" xfId="12" applyNumberFormat="1" applyFont="1" applyFill="1" applyBorder="1"/>
    <xf numFmtId="165" fontId="30" fillId="12" borderId="16" xfId="12" applyNumberFormat="1" applyFont="1" applyFill="1" applyBorder="1"/>
    <xf numFmtId="0" fontId="30" fillId="12" borderId="17" xfId="12" applyNumberFormat="1" applyFont="1" applyFill="1" applyBorder="1" applyAlignment="1">
      <alignment horizontal="center" wrapText="1"/>
    </xf>
    <xf numFmtId="164" fontId="28" fillId="12" borderId="22" xfId="12" applyNumberFormat="1" applyFont="1" applyFill="1" applyBorder="1" applyAlignment="1">
      <alignment wrapText="1"/>
    </xf>
    <xf numFmtId="165" fontId="30" fillId="12" borderId="21" xfId="12" applyNumberFormat="1" applyFont="1" applyFill="1" applyBorder="1" applyAlignment="1">
      <alignment horizontal="left" wrapText="1"/>
    </xf>
    <xf numFmtId="164" fontId="30" fillId="12" borderId="21" xfId="12" applyNumberFormat="1" applyFont="1" applyFill="1" applyBorder="1" applyAlignment="1">
      <alignment horizontal="center"/>
    </xf>
    <xf numFmtId="10" fontId="30" fillId="12" borderId="24" xfId="12" applyNumberFormat="1" applyFont="1" applyFill="1" applyBorder="1" applyAlignment="1">
      <alignment horizontal="center" vertical="center" wrapText="1"/>
    </xf>
    <xf numFmtId="10" fontId="29" fillId="12" borderId="25" xfId="12" applyNumberFormat="1" applyFont="1" applyFill="1" applyBorder="1" applyAlignment="1">
      <alignment horizontal="center" vertical="center"/>
    </xf>
    <xf numFmtId="9" fontId="30" fillId="12" borderId="21" xfId="12" applyNumberFormat="1" applyFont="1" applyFill="1" applyBorder="1" applyAlignment="1">
      <alignment horizontal="center"/>
    </xf>
    <xf numFmtId="9" fontId="30" fillId="12" borderId="17" xfId="12" applyNumberFormat="1" applyFont="1" applyFill="1" applyBorder="1" applyAlignment="1">
      <alignment horizontal="center"/>
    </xf>
    <xf numFmtId="10" fontId="29" fillId="12" borderId="26" xfId="12" applyNumberFormat="1" applyFont="1" applyFill="1" applyBorder="1" applyAlignment="1">
      <alignment horizontal="center" vertical="center"/>
    </xf>
    <xf numFmtId="10" fontId="29" fillId="12" borderId="27" xfId="12" applyNumberFormat="1" applyFont="1" applyFill="1" applyBorder="1" applyAlignment="1">
      <alignment horizontal="center" vertical="center"/>
    </xf>
    <xf numFmtId="2" fontId="30" fillId="12" borderId="17" xfId="12" applyNumberFormat="1" applyFont="1" applyFill="1" applyBorder="1" applyAlignment="1">
      <alignment wrapText="1"/>
    </xf>
    <xf numFmtId="165" fontId="30" fillId="12" borderId="21" xfId="12" applyNumberFormat="1" applyFont="1" applyFill="1" applyBorder="1" applyAlignment="1">
      <alignment horizontal="center"/>
    </xf>
    <xf numFmtId="10" fontId="29" fillId="12" borderId="22" xfId="12" applyNumberFormat="1" applyFont="1" applyFill="1" applyBorder="1" applyAlignment="1">
      <alignment horizontal="center" vertical="center"/>
    </xf>
    <xf numFmtId="10" fontId="29" fillId="12" borderId="28" xfId="12" applyNumberFormat="1" applyFont="1" applyFill="1" applyBorder="1" applyAlignment="1">
      <alignment horizontal="center" vertical="center"/>
    </xf>
    <xf numFmtId="165" fontId="30" fillId="12" borderId="29" xfId="12" applyNumberFormat="1" applyFont="1" applyFill="1" applyBorder="1" applyAlignment="1">
      <alignment wrapText="1"/>
    </xf>
    <xf numFmtId="10" fontId="30" fillId="12" borderId="18" xfId="12" applyNumberFormat="1" applyFont="1" applyFill="1" applyBorder="1" applyAlignment="1">
      <alignment horizontal="center" vertical="center"/>
    </xf>
    <xf numFmtId="10" fontId="29" fillId="12" borderId="23" xfId="12" applyNumberFormat="1" applyFont="1" applyFill="1" applyBorder="1" applyAlignment="1">
      <alignment horizontal="center" vertical="center"/>
    </xf>
    <xf numFmtId="0" fontId="28" fillId="19" borderId="17" xfId="12" applyNumberFormat="1" applyFont="1" applyFill="1" applyBorder="1" applyAlignment="1">
      <alignment horizontal="center"/>
    </xf>
    <xf numFmtId="165" fontId="28" fillId="19" borderId="17" xfId="12" applyNumberFormat="1" applyFont="1" applyFill="1" applyBorder="1" applyAlignment="1">
      <alignment horizontal="center"/>
    </xf>
    <xf numFmtId="165" fontId="28" fillId="19" borderId="17" xfId="12" applyNumberFormat="1" applyFont="1" applyFill="1" applyBorder="1" applyAlignment="1">
      <alignment horizontal="center" wrapText="1"/>
    </xf>
    <xf numFmtId="167" fontId="28" fillId="19" borderId="17" xfId="12" applyNumberFormat="1" applyFont="1" applyFill="1" applyBorder="1" applyAlignment="1">
      <alignment horizontal="center"/>
    </xf>
    <xf numFmtId="9" fontId="28" fillId="19" borderId="17" xfId="12" applyNumberFormat="1" applyFont="1" applyFill="1" applyBorder="1" applyAlignment="1">
      <alignment horizontal="center"/>
    </xf>
    <xf numFmtId="0" fontId="28" fillId="18" borderId="21" xfId="12" applyNumberFormat="1" applyFont="1" applyFill="1" applyBorder="1" applyAlignment="1">
      <alignment horizontal="center"/>
    </xf>
    <xf numFmtId="165" fontId="28" fillId="12" borderId="21" xfId="12" applyNumberFormat="1" applyFont="1" applyFill="1" applyBorder="1" applyAlignment="1">
      <alignment horizontal="center"/>
    </xf>
    <xf numFmtId="165" fontId="30" fillId="12" borderId="17" xfId="12" applyNumberFormat="1" applyFont="1" applyFill="1" applyBorder="1" applyAlignment="1">
      <alignment horizontal="center"/>
    </xf>
    <xf numFmtId="49" fontId="30" fillId="12" borderId="17" xfId="12" applyNumberFormat="1" applyFont="1" applyFill="1" applyBorder="1" applyAlignment="1">
      <alignment horizontal="center"/>
    </xf>
    <xf numFmtId="0" fontId="30" fillId="12" borderId="17" xfId="12" applyNumberFormat="1" applyFont="1" applyFill="1" applyBorder="1" applyAlignment="1">
      <alignment horizontal="center"/>
    </xf>
    <xf numFmtId="9" fontId="29" fillId="14" borderId="17" xfId="12" applyNumberFormat="1" applyFont="1" applyFill="1" applyBorder="1" applyAlignment="1">
      <alignment horizontal="center"/>
    </xf>
    <xf numFmtId="0" fontId="30" fillId="20" borderId="21" xfId="12" applyNumberFormat="1" applyFont="1" applyFill="1" applyBorder="1" applyAlignment="1">
      <alignment horizontal="center"/>
    </xf>
    <xf numFmtId="165" fontId="30" fillId="18" borderId="21" xfId="12" applyNumberFormat="1" applyFont="1" applyFill="1" applyBorder="1" applyAlignment="1">
      <alignment horizontal="center"/>
    </xf>
    <xf numFmtId="165" fontId="30" fillId="18" borderId="17" xfId="12" applyNumberFormat="1" applyFont="1" applyFill="1" applyBorder="1" applyAlignment="1">
      <alignment vertical="center" wrapText="1"/>
    </xf>
    <xf numFmtId="49" fontId="30" fillId="12" borderId="17" xfId="12" applyNumberFormat="1" applyFont="1" applyFill="1" applyBorder="1"/>
    <xf numFmtId="0" fontId="30" fillId="18" borderId="17" xfId="12" applyNumberFormat="1" applyFont="1" applyFill="1" applyBorder="1" applyAlignment="1">
      <alignment horizontal="center"/>
    </xf>
    <xf numFmtId="165" fontId="29" fillId="18" borderId="17" xfId="12" applyNumberFormat="1" applyFont="1" applyFill="1" applyBorder="1"/>
    <xf numFmtId="49" fontId="30" fillId="12" borderId="17" xfId="12" applyNumberFormat="1" applyFont="1" applyFill="1" applyBorder="1" applyAlignment="1">
      <alignment horizontal="center" vertical="center"/>
    </xf>
    <xf numFmtId="0" fontId="30" fillId="18" borderId="17" xfId="12" applyNumberFormat="1" applyFont="1" applyFill="1" applyBorder="1" applyAlignment="1">
      <alignment horizontal="center" vertical="center"/>
    </xf>
    <xf numFmtId="0" fontId="30" fillId="20" borderId="21" xfId="12" applyNumberFormat="1" applyFont="1" applyFill="1" applyBorder="1" applyAlignment="1">
      <alignment horizontal="center" vertical="center"/>
    </xf>
    <xf numFmtId="165" fontId="30" fillId="18" borderId="21" xfId="12" applyNumberFormat="1" applyFont="1" applyFill="1" applyBorder="1" applyAlignment="1">
      <alignment horizontal="center" vertical="center"/>
    </xf>
    <xf numFmtId="165" fontId="29" fillId="12" borderId="17" xfId="12" applyNumberFormat="1" applyFont="1" applyFill="1" applyBorder="1" applyAlignment="1">
      <alignment vertical="center"/>
    </xf>
    <xf numFmtId="9" fontId="29" fillId="14" borderId="17" xfId="12" applyNumberFormat="1" applyFont="1" applyFill="1" applyBorder="1" applyAlignment="1">
      <alignment horizontal="center" vertical="center"/>
    </xf>
    <xf numFmtId="165" fontId="29" fillId="18" borderId="17" xfId="12" applyNumberFormat="1" applyFont="1" applyFill="1" applyBorder="1" applyAlignment="1">
      <alignment vertical="center"/>
    </xf>
    <xf numFmtId="165" fontId="30" fillId="12" borderId="16" xfId="12" applyNumberFormat="1" applyFont="1" applyFill="1" applyBorder="1" applyAlignment="1">
      <alignment vertical="center"/>
    </xf>
    <xf numFmtId="0" fontId="30" fillId="18" borderId="21" xfId="12" applyNumberFormat="1" applyFont="1" applyFill="1" applyBorder="1" applyAlignment="1">
      <alignment horizontal="center"/>
    </xf>
    <xf numFmtId="165" fontId="30" fillId="18" borderId="17" xfId="12" applyNumberFormat="1" applyFont="1" applyFill="1" applyBorder="1"/>
    <xf numFmtId="0" fontId="28" fillId="20" borderId="21" xfId="12" applyNumberFormat="1" applyFont="1" applyFill="1" applyBorder="1" applyAlignment="1">
      <alignment horizontal="center"/>
    </xf>
    <xf numFmtId="165" fontId="28" fillId="12" borderId="22" xfId="12" applyNumberFormat="1" applyFont="1" applyFill="1" applyBorder="1" applyAlignment="1">
      <alignment wrapText="1"/>
    </xf>
    <xf numFmtId="165" fontId="30" fillId="18" borderId="17" xfId="12" applyNumberFormat="1" applyFont="1" applyFill="1" applyBorder="1" applyAlignment="1">
      <alignment horizontal="left" wrapText="1"/>
    </xf>
    <xf numFmtId="165" fontId="30" fillId="18" borderId="17" xfId="12" applyNumberFormat="1" applyFont="1" applyFill="1" applyBorder="1" applyAlignment="1">
      <alignment horizontal="center"/>
    </xf>
    <xf numFmtId="165" fontId="30" fillId="18" borderId="17" xfId="12" applyNumberFormat="1" applyFont="1" applyFill="1" applyBorder="1" applyAlignment="1">
      <alignment horizontal="center" wrapText="1"/>
    </xf>
    <xf numFmtId="165" fontId="30" fillId="12" borderId="17" xfId="12" applyNumberFormat="1" applyFont="1" applyFill="1" applyBorder="1" applyAlignment="1">
      <alignment horizontal="center" wrapText="1"/>
    </xf>
    <xf numFmtId="165" fontId="30" fillId="18" borderId="22" xfId="12" applyNumberFormat="1" applyFont="1" applyFill="1" applyBorder="1" applyAlignment="1">
      <alignment horizontal="left" wrapText="1"/>
    </xf>
    <xf numFmtId="0" fontId="30" fillId="18" borderId="21" xfId="12" applyNumberFormat="1" applyFont="1" applyFill="1" applyBorder="1" applyAlignment="1">
      <alignment horizontal="center" vertical="center"/>
    </xf>
    <xf numFmtId="165" fontId="30" fillId="12" borderId="21" xfId="12" applyNumberFormat="1" applyFont="1" applyFill="1" applyBorder="1" applyAlignment="1">
      <alignment horizontal="center" vertical="center"/>
    </xf>
    <xf numFmtId="165" fontId="30" fillId="12" borderId="18" xfId="12" applyNumberFormat="1" applyFont="1" applyFill="1" applyBorder="1" applyAlignment="1">
      <alignment horizontal="center" vertical="center" wrapText="1"/>
    </xf>
    <xf numFmtId="165" fontId="30" fillId="12" borderId="18" xfId="12" applyNumberFormat="1" applyFont="1" applyFill="1" applyBorder="1" applyAlignment="1">
      <alignment horizontal="center" wrapText="1"/>
    </xf>
    <xf numFmtId="165" fontId="28" fillId="12" borderId="16" xfId="12" applyNumberFormat="1" applyFont="1" applyFill="1" applyBorder="1" applyAlignment="1">
      <alignment wrapText="1"/>
    </xf>
    <xf numFmtId="165" fontId="28" fillId="18" borderId="17" xfId="12" applyNumberFormat="1" applyFont="1" applyFill="1" applyBorder="1"/>
    <xf numFmtId="49" fontId="30" fillId="18" borderId="17" xfId="12" applyNumberFormat="1" applyFont="1" applyFill="1" applyBorder="1" applyAlignment="1">
      <alignment horizontal="center"/>
    </xf>
    <xf numFmtId="49" fontId="29" fillId="12" borderId="16" xfId="12" applyNumberFormat="1" applyFont="1" applyFill="1" applyBorder="1"/>
    <xf numFmtId="165" fontId="30" fillId="12" borderId="22" xfId="12" applyNumberFormat="1" applyFont="1" applyFill="1" applyBorder="1" applyAlignment="1">
      <alignment wrapText="1"/>
    </xf>
    <xf numFmtId="165" fontId="28" fillId="12" borderId="21" xfId="12" applyNumberFormat="1" applyFont="1" applyFill="1" applyBorder="1" applyAlignment="1">
      <alignment wrapText="1"/>
    </xf>
    <xf numFmtId="165" fontId="30" fillId="12" borderId="21" xfId="12" applyNumberFormat="1" applyFont="1" applyFill="1" applyBorder="1" applyAlignment="1">
      <alignment wrapText="1"/>
    </xf>
    <xf numFmtId="0" fontId="28" fillId="18" borderId="21" xfId="12" applyNumberFormat="1" applyFont="1" applyFill="1" applyBorder="1" applyAlignment="1">
      <alignment horizontal="center" vertical="center"/>
    </xf>
    <xf numFmtId="165" fontId="28" fillId="12" borderId="21" xfId="12" applyNumberFormat="1" applyFont="1" applyFill="1" applyBorder="1" applyAlignment="1">
      <alignment horizontal="center" vertical="center"/>
    </xf>
    <xf numFmtId="49" fontId="30" fillId="12" borderId="17" xfId="12" applyNumberFormat="1" applyFont="1" applyFill="1" applyBorder="1" applyAlignment="1">
      <alignment vertical="center"/>
    </xf>
    <xf numFmtId="164" fontId="29" fillId="12" borderId="16" xfId="12" applyNumberFormat="1" applyFont="1" applyFill="1" applyBorder="1" applyAlignment="1">
      <alignment vertical="center"/>
    </xf>
    <xf numFmtId="165" fontId="28" fillId="18" borderId="17" xfId="12" applyNumberFormat="1" applyFont="1" applyFill="1" applyBorder="1" applyAlignment="1">
      <alignment wrapText="1"/>
    </xf>
    <xf numFmtId="165" fontId="30" fillId="18" borderId="17" xfId="12" applyNumberFormat="1" applyFont="1" applyFill="1" applyBorder="1" applyAlignment="1">
      <alignment wrapText="1"/>
    </xf>
    <xf numFmtId="165" fontId="28" fillId="18" borderId="21" xfId="12" applyNumberFormat="1" applyFont="1" applyFill="1" applyBorder="1" applyAlignment="1">
      <alignment wrapText="1"/>
    </xf>
    <xf numFmtId="0" fontId="28" fillId="18" borderId="17" xfId="12" applyNumberFormat="1" applyFont="1" applyFill="1" applyBorder="1" applyAlignment="1">
      <alignment horizontal="center" wrapText="1"/>
    </xf>
    <xf numFmtId="0" fontId="30" fillId="18" borderId="17" xfId="12" applyNumberFormat="1" applyFont="1" applyFill="1" applyBorder="1" applyAlignment="1">
      <alignment wrapText="1"/>
    </xf>
    <xf numFmtId="165" fontId="28" fillId="12" borderId="17" xfId="12" applyNumberFormat="1" applyFont="1" applyFill="1" applyBorder="1" applyAlignment="1">
      <alignment horizontal="left" wrapText="1"/>
    </xf>
    <xf numFmtId="164" fontId="28" fillId="12" borderId="16" xfId="12" applyNumberFormat="1" applyFont="1" applyFill="1" applyBorder="1"/>
    <xf numFmtId="9" fontId="28" fillId="14" borderId="17" xfId="12" applyNumberFormat="1" applyFont="1" applyFill="1" applyBorder="1" applyAlignment="1">
      <alignment horizontal="center"/>
    </xf>
    <xf numFmtId="0" fontId="30" fillId="20" borderId="17" xfId="12" applyNumberFormat="1" applyFont="1" applyFill="1" applyBorder="1" applyAlignment="1">
      <alignment horizontal="center"/>
    </xf>
    <xf numFmtId="165" fontId="30" fillId="12" borderId="21" xfId="12" applyNumberFormat="1" applyFont="1" applyFill="1" applyBorder="1" applyAlignment="1">
      <alignment horizontal="left"/>
    </xf>
    <xf numFmtId="165" fontId="30" fillId="12" borderId="18" xfId="12" applyNumberFormat="1" applyFont="1" applyFill="1" applyBorder="1" applyAlignment="1">
      <alignment wrapText="1"/>
    </xf>
    <xf numFmtId="165" fontId="30" fillId="20" borderId="18" xfId="12" applyNumberFormat="1" applyFont="1" applyFill="1" applyBorder="1" applyAlignment="1">
      <alignment wrapText="1"/>
    </xf>
    <xf numFmtId="0" fontId="28" fillId="15" borderId="19" xfId="12" applyNumberFormat="1" applyFont="1" applyFill="1" applyBorder="1" applyAlignment="1">
      <alignment horizontal="center" wrapText="1"/>
    </xf>
    <xf numFmtId="165" fontId="28" fillId="15" borderId="20" xfId="12" applyNumberFormat="1" applyFont="1" applyFill="1" applyBorder="1" applyAlignment="1">
      <alignment horizontal="center" wrapText="1"/>
    </xf>
    <xf numFmtId="0" fontId="30" fillId="15" borderId="20" xfId="12" applyNumberFormat="1" applyFont="1" applyFill="1" applyBorder="1" applyAlignment="1">
      <alignment horizontal="center" wrapText="1"/>
    </xf>
    <xf numFmtId="164" fontId="30" fillId="15" borderId="20" xfId="12" applyNumberFormat="1" applyFont="1" applyFill="1" applyBorder="1" applyAlignment="1">
      <alignment wrapText="1"/>
    </xf>
    <xf numFmtId="165" fontId="28" fillId="15" borderId="17" xfId="12" applyNumberFormat="1" applyFont="1" applyFill="1" applyBorder="1" applyAlignment="1">
      <alignment wrapText="1"/>
    </xf>
    <xf numFmtId="10" fontId="28" fillId="15" borderId="17" xfId="12" applyNumberFormat="1" applyFont="1" applyFill="1" applyBorder="1" applyAlignment="1">
      <alignment horizontal="center" wrapText="1"/>
    </xf>
    <xf numFmtId="164" fontId="28" fillId="15" borderId="17" xfId="12" applyNumberFormat="1" applyFont="1" applyFill="1" applyBorder="1" applyAlignment="1">
      <alignment wrapText="1"/>
    </xf>
    <xf numFmtId="165" fontId="30" fillId="12" borderId="16" xfId="12" applyNumberFormat="1" applyFont="1" applyFill="1" applyBorder="1" applyAlignment="1">
      <alignment wrapText="1"/>
    </xf>
    <xf numFmtId="164" fontId="30" fillId="12" borderId="21" xfId="12" applyNumberFormat="1" applyFont="1" applyFill="1" applyBorder="1" applyAlignment="1">
      <alignment horizontal="center" wrapText="1"/>
    </xf>
    <xf numFmtId="10" fontId="29" fillId="12" borderId="25" xfId="12" applyNumberFormat="1" applyFont="1" applyFill="1" applyBorder="1" applyAlignment="1">
      <alignment horizontal="center" vertical="center" wrapText="1"/>
    </xf>
    <xf numFmtId="9" fontId="30" fillId="12" borderId="21" xfId="12" applyNumberFormat="1" applyFont="1" applyFill="1" applyBorder="1" applyAlignment="1">
      <alignment horizontal="center" wrapText="1"/>
    </xf>
    <xf numFmtId="9" fontId="30" fillId="12" borderId="17" xfId="12" applyNumberFormat="1" applyFont="1" applyFill="1" applyBorder="1" applyAlignment="1">
      <alignment horizontal="center" wrapText="1"/>
    </xf>
    <xf numFmtId="10" fontId="29" fillId="12" borderId="26" xfId="12" applyNumberFormat="1" applyFont="1" applyFill="1" applyBorder="1" applyAlignment="1">
      <alignment horizontal="center" vertical="center" wrapText="1"/>
    </xf>
    <xf numFmtId="10" fontId="29" fillId="12" borderId="27" xfId="12" applyNumberFormat="1" applyFont="1" applyFill="1" applyBorder="1" applyAlignment="1">
      <alignment horizontal="center" vertical="center" wrapText="1"/>
    </xf>
    <xf numFmtId="165" fontId="30" fillId="12" borderId="21" xfId="12" applyNumberFormat="1" applyFont="1" applyFill="1" applyBorder="1" applyAlignment="1">
      <alignment horizontal="center" wrapText="1"/>
    </xf>
    <xf numFmtId="10" fontId="29" fillId="12" borderId="22" xfId="12" applyNumberFormat="1" applyFont="1" applyFill="1" applyBorder="1" applyAlignment="1">
      <alignment horizontal="center" vertical="center" wrapText="1"/>
    </xf>
    <xf numFmtId="10" fontId="29" fillId="12" borderId="28" xfId="12" applyNumberFormat="1" applyFont="1" applyFill="1" applyBorder="1" applyAlignment="1">
      <alignment horizontal="center" vertical="center" wrapText="1"/>
    </xf>
    <xf numFmtId="10" fontId="30" fillId="12" borderId="18" xfId="12" applyNumberFormat="1" applyFont="1" applyFill="1" applyBorder="1" applyAlignment="1">
      <alignment horizontal="center" vertical="center" wrapText="1"/>
    </xf>
    <xf numFmtId="10" fontId="29" fillId="12" borderId="23" xfId="12" applyNumberFormat="1" applyFont="1" applyFill="1" applyBorder="1" applyAlignment="1">
      <alignment horizontal="center" vertical="center" wrapText="1"/>
    </xf>
    <xf numFmtId="0" fontId="28" fillId="19" borderId="17" xfId="12" applyNumberFormat="1" applyFont="1" applyFill="1" applyBorder="1" applyAlignment="1">
      <alignment horizontal="center" wrapText="1"/>
    </xf>
    <xf numFmtId="167" fontId="28" fillId="19" borderId="17" xfId="12" applyNumberFormat="1" applyFont="1" applyFill="1" applyBorder="1" applyAlignment="1">
      <alignment horizontal="center" wrapText="1"/>
    </xf>
    <xf numFmtId="9" fontId="28" fillId="19" borderId="17" xfId="12" applyNumberFormat="1" applyFont="1" applyFill="1" applyBorder="1" applyAlignment="1">
      <alignment horizontal="center" wrapText="1"/>
    </xf>
    <xf numFmtId="0" fontId="28" fillId="18" borderId="21" xfId="12" applyNumberFormat="1" applyFont="1" applyFill="1" applyBorder="1" applyAlignment="1">
      <alignment horizontal="center" wrapText="1"/>
    </xf>
    <xf numFmtId="165" fontId="28" fillId="12" borderId="21" xfId="12" applyNumberFormat="1" applyFont="1" applyFill="1" applyBorder="1" applyAlignment="1">
      <alignment horizontal="center" wrapText="1"/>
    </xf>
    <xf numFmtId="49" fontId="30" fillId="12" borderId="17" xfId="12" applyNumberFormat="1" applyFont="1" applyFill="1" applyBorder="1" applyAlignment="1">
      <alignment horizontal="center" wrapText="1"/>
    </xf>
    <xf numFmtId="9" fontId="29" fillId="14" borderId="17" xfId="12" applyNumberFormat="1" applyFont="1" applyFill="1" applyBorder="1" applyAlignment="1">
      <alignment horizontal="center" wrapText="1"/>
    </xf>
    <xf numFmtId="0" fontId="30" fillId="20" borderId="21" xfId="12" applyNumberFormat="1" applyFont="1" applyFill="1" applyBorder="1" applyAlignment="1">
      <alignment horizontal="center" wrapText="1"/>
    </xf>
    <xf numFmtId="165" fontId="30" fillId="18" borderId="21" xfId="12" applyNumberFormat="1" applyFont="1" applyFill="1" applyBorder="1" applyAlignment="1">
      <alignment horizontal="center" wrapText="1"/>
    </xf>
    <xf numFmtId="49" fontId="30" fillId="12" borderId="17" xfId="12" applyNumberFormat="1" applyFont="1" applyFill="1" applyBorder="1" applyAlignment="1">
      <alignment wrapText="1"/>
    </xf>
    <xf numFmtId="0" fontId="30" fillId="18" borderId="17" xfId="12" applyNumberFormat="1" applyFont="1" applyFill="1" applyBorder="1" applyAlignment="1">
      <alignment horizontal="center" wrapText="1"/>
    </xf>
    <xf numFmtId="165" fontId="29" fillId="18" borderId="17" xfId="12" applyNumberFormat="1" applyFont="1" applyFill="1" applyBorder="1" applyAlignment="1">
      <alignment wrapText="1"/>
    </xf>
    <xf numFmtId="49" fontId="30" fillId="12" borderId="17" xfId="12" applyNumberFormat="1" applyFont="1" applyFill="1" applyBorder="1" applyAlignment="1">
      <alignment horizontal="center" vertical="center" wrapText="1"/>
    </xf>
    <xf numFmtId="0" fontId="30" fillId="18" borderId="17" xfId="12" applyNumberFormat="1" applyFont="1" applyFill="1" applyBorder="1" applyAlignment="1">
      <alignment horizontal="center" vertical="center" wrapText="1"/>
    </xf>
    <xf numFmtId="0" fontId="30" fillId="20" borderId="21" xfId="12" applyNumberFormat="1" applyFont="1" applyFill="1" applyBorder="1" applyAlignment="1">
      <alignment horizontal="center" vertical="center" wrapText="1"/>
    </xf>
    <xf numFmtId="165" fontId="30" fillId="18" borderId="21" xfId="12" applyNumberFormat="1" applyFont="1" applyFill="1" applyBorder="1" applyAlignment="1">
      <alignment horizontal="center" vertical="center" wrapText="1"/>
    </xf>
    <xf numFmtId="9" fontId="29" fillId="14" borderId="17" xfId="12" applyNumberFormat="1" applyFont="1" applyFill="1" applyBorder="1" applyAlignment="1">
      <alignment horizontal="center" vertical="center" wrapText="1"/>
    </xf>
    <xf numFmtId="165" fontId="29" fillId="18" borderId="17" xfId="12" applyNumberFormat="1" applyFont="1" applyFill="1" applyBorder="1" applyAlignment="1">
      <alignment vertical="center" wrapText="1"/>
    </xf>
    <xf numFmtId="165" fontId="30" fillId="12" borderId="16" xfId="12" applyNumberFormat="1" applyFont="1" applyFill="1" applyBorder="1" applyAlignment="1">
      <alignment vertical="center" wrapText="1"/>
    </xf>
    <xf numFmtId="0" fontId="30" fillId="18" borderId="21" xfId="12" applyNumberFormat="1" applyFont="1" applyFill="1" applyBorder="1" applyAlignment="1">
      <alignment horizontal="center" wrapText="1"/>
    </xf>
    <xf numFmtId="0" fontId="28" fillId="20" borderId="21" xfId="12" applyNumberFormat="1" applyFont="1" applyFill="1" applyBorder="1" applyAlignment="1">
      <alignment horizontal="center" wrapText="1"/>
    </xf>
    <xf numFmtId="0" fontId="30" fillId="18" borderId="21" xfId="12" applyNumberFormat="1" applyFont="1" applyFill="1" applyBorder="1" applyAlignment="1">
      <alignment horizontal="center" vertical="center" wrapText="1"/>
    </xf>
    <xf numFmtId="165" fontId="30" fillId="12" borderId="21" xfId="12" applyNumberFormat="1" applyFont="1" applyFill="1" applyBorder="1" applyAlignment="1">
      <alignment horizontal="center" vertical="center" wrapText="1"/>
    </xf>
    <xf numFmtId="49" fontId="30" fillId="18" borderId="17" xfId="12" applyNumberFormat="1" applyFont="1" applyFill="1" applyBorder="1" applyAlignment="1">
      <alignment horizontal="center" wrapText="1"/>
    </xf>
    <xf numFmtId="49" fontId="29" fillId="12" borderId="16" xfId="12" applyNumberFormat="1" applyFont="1" applyFill="1" applyBorder="1" applyAlignment="1">
      <alignment wrapText="1"/>
    </xf>
    <xf numFmtId="0" fontId="28" fillId="18" borderId="21" xfId="12" applyNumberFormat="1" applyFont="1" applyFill="1" applyBorder="1" applyAlignment="1">
      <alignment horizontal="center" vertical="center" wrapText="1"/>
    </xf>
    <xf numFmtId="165" fontId="28" fillId="12" borderId="21" xfId="12" applyNumberFormat="1" applyFont="1" applyFill="1" applyBorder="1" applyAlignment="1">
      <alignment horizontal="center" vertical="center" wrapText="1"/>
    </xf>
    <xf numFmtId="49" fontId="30" fillId="12" borderId="17" xfId="12" applyNumberFormat="1" applyFont="1" applyFill="1" applyBorder="1" applyAlignment="1">
      <alignment vertical="center" wrapText="1"/>
    </xf>
    <xf numFmtId="164" fontId="28" fillId="12" borderId="16" xfId="12" applyNumberFormat="1" applyFont="1" applyFill="1" applyBorder="1" applyAlignment="1">
      <alignment wrapText="1"/>
    </xf>
    <xf numFmtId="9" fontId="28" fillId="14" borderId="17" xfId="12" applyNumberFormat="1" applyFont="1" applyFill="1" applyBorder="1" applyAlignment="1">
      <alignment horizontal="center" wrapText="1"/>
    </xf>
    <xf numFmtId="0" fontId="30" fillId="20" borderId="17" xfId="12" applyNumberFormat="1" applyFont="1" applyFill="1" applyBorder="1" applyAlignment="1">
      <alignment horizontal="center" wrapText="1"/>
    </xf>
    <xf numFmtId="0" fontId="28" fillId="15" borderId="19" xfId="12" applyNumberFormat="1" applyFont="1" applyFill="1" applyBorder="1" applyAlignment="1">
      <alignment horizontal="center" vertical="center" wrapText="1"/>
    </xf>
    <xf numFmtId="165" fontId="28" fillId="15" borderId="20" xfId="12" applyNumberFormat="1" applyFont="1" applyFill="1" applyBorder="1" applyAlignment="1">
      <alignment horizontal="center" vertical="center" wrapText="1"/>
    </xf>
    <xf numFmtId="165" fontId="28" fillId="15" borderId="20" xfId="12" applyNumberFormat="1" applyFont="1" applyFill="1" applyBorder="1" applyAlignment="1">
      <alignment vertical="center" wrapText="1"/>
    </xf>
    <xf numFmtId="165" fontId="30" fillId="15" borderId="20" xfId="12" applyNumberFormat="1" applyFont="1" applyFill="1" applyBorder="1" applyAlignment="1">
      <alignment horizontal="left" vertical="center" wrapText="1"/>
    </xf>
    <xf numFmtId="165" fontId="30" fillId="15" borderId="20" xfId="12" applyNumberFormat="1" applyFont="1" applyFill="1" applyBorder="1" applyAlignment="1">
      <alignment horizontal="center" vertical="center" wrapText="1"/>
    </xf>
    <xf numFmtId="0" fontId="30" fillId="15" borderId="20" xfId="12" applyNumberFormat="1" applyFont="1" applyFill="1" applyBorder="1" applyAlignment="1">
      <alignment horizontal="center" vertical="center" wrapText="1"/>
    </xf>
    <xf numFmtId="164" fontId="30" fillId="15" borderId="20" xfId="12" applyNumberFormat="1" applyFont="1" applyFill="1" applyBorder="1" applyAlignment="1">
      <alignment vertical="center" wrapText="1"/>
    </xf>
    <xf numFmtId="165" fontId="28" fillId="15" borderId="17" xfId="12" applyNumberFormat="1" applyFont="1" applyFill="1" applyBorder="1" applyAlignment="1">
      <alignment vertical="center" wrapText="1"/>
    </xf>
    <xf numFmtId="10" fontId="28" fillId="15" borderId="17" xfId="12" applyNumberFormat="1" applyFont="1" applyFill="1" applyBorder="1" applyAlignment="1">
      <alignment horizontal="center" vertical="center" wrapText="1"/>
    </xf>
    <xf numFmtId="164" fontId="28" fillId="15" borderId="17" xfId="12" applyNumberFormat="1" applyFont="1" applyFill="1" applyBorder="1" applyAlignment="1">
      <alignment vertical="center" wrapText="1"/>
    </xf>
    <xf numFmtId="164" fontId="28" fillId="12" borderId="22" xfId="12" applyNumberFormat="1" applyFont="1" applyFill="1" applyBorder="1" applyAlignment="1">
      <alignment vertical="center" wrapText="1"/>
    </xf>
    <xf numFmtId="165" fontId="30" fillId="12" borderId="21" xfId="12" applyNumberFormat="1" applyFont="1" applyFill="1" applyBorder="1" applyAlignment="1">
      <alignment horizontal="left" vertical="center" wrapText="1"/>
    </xf>
    <xf numFmtId="164" fontId="30" fillId="12" borderId="21" xfId="12" applyNumberFormat="1" applyFont="1" applyFill="1" applyBorder="1" applyAlignment="1">
      <alignment horizontal="center" vertical="center" wrapText="1"/>
    </xf>
    <xf numFmtId="9" fontId="30" fillId="12" borderId="21" xfId="12" applyNumberFormat="1" applyFont="1" applyFill="1" applyBorder="1" applyAlignment="1">
      <alignment horizontal="center" vertical="center" wrapText="1"/>
    </xf>
    <xf numFmtId="9" fontId="30" fillId="12" borderId="17" xfId="12" applyNumberFormat="1" applyFont="1" applyFill="1" applyBorder="1" applyAlignment="1">
      <alignment horizontal="center" vertical="center" wrapText="1"/>
    </xf>
    <xf numFmtId="2" fontId="30" fillId="12" borderId="17" xfId="12" applyNumberFormat="1" applyFont="1" applyFill="1" applyBorder="1" applyAlignment="1">
      <alignment vertical="center" wrapText="1"/>
    </xf>
    <xf numFmtId="165" fontId="30" fillId="12" borderId="29" xfId="12" applyNumberFormat="1" applyFont="1" applyFill="1" applyBorder="1" applyAlignment="1">
      <alignment vertical="center" wrapText="1"/>
    </xf>
    <xf numFmtId="0" fontId="28" fillId="19" borderId="17" xfId="12" applyNumberFormat="1" applyFont="1" applyFill="1" applyBorder="1" applyAlignment="1">
      <alignment horizontal="center" vertical="center" wrapText="1"/>
    </xf>
    <xf numFmtId="165" fontId="28" fillId="19" borderId="17" xfId="12" applyNumberFormat="1" applyFont="1" applyFill="1" applyBorder="1" applyAlignment="1">
      <alignment horizontal="center" vertical="center" wrapText="1"/>
    </xf>
    <xf numFmtId="167" fontId="28" fillId="19" borderId="17" xfId="12" applyNumberFormat="1" applyFont="1" applyFill="1" applyBorder="1" applyAlignment="1">
      <alignment horizontal="center" vertical="center" wrapText="1"/>
    </xf>
    <xf numFmtId="9" fontId="28" fillId="19" borderId="17" xfId="12" applyNumberFormat="1" applyFont="1" applyFill="1" applyBorder="1" applyAlignment="1">
      <alignment horizontal="center" vertical="center" wrapText="1"/>
    </xf>
    <xf numFmtId="0" fontId="28" fillId="20" borderId="21" xfId="12" applyNumberFormat="1" applyFont="1" applyFill="1" applyBorder="1" applyAlignment="1">
      <alignment horizontal="center" vertical="center" wrapText="1"/>
    </xf>
    <xf numFmtId="165" fontId="28" fillId="12" borderId="22" xfId="12" applyNumberFormat="1" applyFont="1" applyFill="1" applyBorder="1" applyAlignment="1">
      <alignment vertical="center" wrapText="1"/>
    </xf>
    <xf numFmtId="165" fontId="30" fillId="18" borderId="17" xfId="12" applyNumberFormat="1" applyFont="1" applyFill="1" applyBorder="1" applyAlignment="1">
      <alignment horizontal="left" vertical="center" wrapText="1"/>
    </xf>
    <xf numFmtId="165" fontId="30" fillId="18" borderId="17" xfId="12" applyNumberFormat="1" applyFont="1" applyFill="1" applyBorder="1" applyAlignment="1">
      <alignment horizontal="center" vertical="center" wrapText="1"/>
    </xf>
    <xf numFmtId="165" fontId="30" fillId="18" borderId="22" xfId="12" applyNumberFormat="1" applyFont="1" applyFill="1" applyBorder="1" applyAlignment="1">
      <alignment horizontal="left" vertical="center" wrapText="1"/>
    </xf>
    <xf numFmtId="165" fontId="28" fillId="12" borderId="16" xfId="12" applyNumberFormat="1" applyFont="1" applyFill="1" applyBorder="1" applyAlignment="1">
      <alignment vertical="center" wrapText="1"/>
    </xf>
    <xf numFmtId="165" fontId="28" fillId="18" borderId="17" xfId="12" applyNumberFormat="1" applyFont="1" applyFill="1" applyBorder="1" applyAlignment="1">
      <alignment vertical="center" wrapText="1"/>
    </xf>
    <xf numFmtId="49" fontId="30" fillId="18" borderId="17" xfId="12" applyNumberFormat="1" applyFont="1" applyFill="1" applyBorder="1" applyAlignment="1">
      <alignment horizontal="center" vertical="center" wrapText="1"/>
    </xf>
    <xf numFmtId="49" fontId="29" fillId="12" borderId="16" xfId="12" applyNumberFormat="1" applyFont="1" applyFill="1" applyBorder="1" applyAlignment="1">
      <alignment vertical="center" wrapText="1"/>
    </xf>
    <xf numFmtId="165" fontId="30" fillId="12" borderId="22" xfId="12" applyNumberFormat="1" applyFont="1" applyFill="1" applyBorder="1" applyAlignment="1">
      <alignment vertical="center" wrapText="1"/>
    </xf>
    <xf numFmtId="165" fontId="28" fillId="12" borderId="21" xfId="12" applyNumberFormat="1" applyFont="1" applyFill="1" applyBorder="1" applyAlignment="1">
      <alignment vertical="center" wrapText="1"/>
    </xf>
    <xf numFmtId="165" fontId="30" fillId="12" borderId="21" xfId="12" applyNumberFormat="1" applyFont="1" applyFill="1" applyBorder="1" applyAlignment="1">
      <alignment vertical="center" wrapText="1"/>
    </xf>
    <xf numFmtId="165" fontId="28" fillId="18" borderId="21" xfId="12" applyNumberFormat="1" applyFont="1" applyFill="1" applyBorder="1" applyAlignment="1">
      <alignment vertical="center" wrapText="1"/>
    </xf>
    <xf numFmtId="0" fontId="28" fillId="18" borderId="17" xfId="12" applyNumberFormat="1" applyFont="1" applyFill="1" applyBorder="1" applyAlignment="1">
      <alignment horizontal="center" vertical="center" wrapText="1"/>
    </xf>
    <xf numFmtId="0" fontId="30" fillId="18" borderId="17" xfId="12" applyNumberFormat="1" applyFont="1" applyFill="1" applyBorder="1" applyAlignment="1">
      <alignment vertical="center" wrapText="1"/>
    </xf>
    <xf numFmtId="165" fontId="28" fillId="12" borderId="17" xfId="12" applyNumberFormat="1" applyFont="1" applyFill="1" applyBorder="1" applyAlignment="1">
      <alignment horizontal="left" vertical="center" wrapText="1"/>
    </xf>
    <xf numFmtId="164" fontId="28" fillId="12" borderId="16" xfId="12" applyNumberFormat="1" applyFont="1" applyFill="1" applyBorder="1" applyAlignment="1">
      <alignment vertical="center" wrapText="1"/>
    </xf>
    <xf numFmtId="9" fontId="28" fillId="14" borderId="17" xfId="12" applyNumberFormat="1" applyFont="1" applyFill="1" applyBorder="1" applyAlignment="1">
      <alignment horizontal="center" vertical="center" wrapText="1"/>
    </xf>
    <xf numFmtId="0" fontId="30" fillId="20" borderId="17" xfId="12" applyNumberFormat="1" applyFont="1" applyFill="1" applyBorder="1" applyAlignment="1">
      <alignment horizontal="center" vertical="center" wrapText="1"/>
    </xf>
    <xf numFmtId="165" fontId="30" fillId="12" borderId="18" xfId="12" applyNumberFormat="1" applyFont="1" applyFill="1" applyBorder="1" applyAlignment="1">
      <alignment vertical="center" wrapText="1"/>
    </xf>
    <xf numFmtId="165" fontId="30" fillId="20" borderId="18" xfId="12" applyNumberFormat="1" applyFont="1" applyFill="1" applyBorder="1" applyAlignment="1">
      <alignment vertical="center" wrapText="1"/>
    </xf>
    <xf numFmtId="164" fontId="28" fillId="24" borderId="22" xfId="12" applyNumberFormat="1" applyFont="1" applyFill="1" applyBorder="1" applyAlignment="1">
      <alignment vertical="center" wrapText="1"/>
    </xf>
    <xf numFmtId="165" fontId="30" fillId="24" borderId="21" xfId="12" applyNumberFormat="1" applyFont="1" applyFill="1" applyBorder="1" applyAlignment="1">
      <alignment horizontal="left" vertical="center" wrapText="1"/>
    </xf>
    <xf numFmtId="164" fontId="30" fillId="24" borderId="21" xfId="12" applyNumberFormat="1" applyFont="1" applyFill="1" applyBorder="1" applyAlignment="1">
      <alignment horizontal="center" vertical="center" wrapText="1"/>
    </xf>
    <xf numFmtId="10" fontId="30" fillId="24" borderId="24" xfId="12" applyNumberFormat="1" applyFont="1" applyFill="1" applyBorder="1" applyAlignment="1">
      <alignment horizontal="center" vertical="center" wrapText="1"/>
    </xf>
    <xf numFmtId="10" fontId="29" fillId="24" borderId="25" xfId="12" applyNumberFormat="1" applyFont="1" applyFill="1" applyBorder="1" applyAlignment="1">
      <alignment horizontal="center" vertical="center" wrapText="1"/>
    </xf>
    <xf numFmtId="9" fontId="30" fillId="24" borderId="21" xfId="12" applyNumberFormat="1" applyFont="1" applyFill="1" applyBorder="1" applyAlignment="1">
      <alignment horizontal="center" vertical="center" wrapText="1"/>
    </xf>
    <xf numFmtId="9" fontId="30" fillId="24" borderId="17" xfId="12" applyNumberFormat="1" applyFont="1" applyFill="1" applyBorder="1" applyAlignment="1">
      <alignment horizontal="center" vertical="center" wrapText="1"/>
    </xf>
    <xf numFmtId="165" fontId="30" fillId="24" borderId="16" xfId="12" applyNumberFormat="1" applyFont="1" applyFill="1" applyBorder="1" applyAlignment="1">
      <alignment vertical="center" wrapText="1"/>
    </xf>
    <xf numFmtId="164" fontId="28" fillId="24" borderId="40" xfId="12" applyNumberFormat="1" applyFont="1" applyFill="1" applyBorder="1" applyAlignment="1">
      <alignment vertical="center" wrapText="1"/>
    </xf>
    <xf numFmtId="165" fontId="30" fillId="24" borderId="36" xfId="12" applyNumberFormat="1" applyFont="1" applyFill="1" applyBorder="1" applyAlignment="1">
      <alignment horizontal="left" vertical="center" wrapText="1"/>
    </xf>
    <xf numFmtId="164" fontId="30" fillId="24" borderId="36" xfId="12" applyNumberFormat="1" applyFont="1" applyFill="1" applyBorder="1" applyAlignment="1">
      <alignment horizontal="center" vertical="center" wrapText="1"/>
    </xf>
    <xf numFmtId="10" fontId="30" fillId="24" borderId="37" xfId="12" applyNumberFormat="1" applyFont="1" applyFill="1" applyBorder="1" applyAlignment="1">
      <alignment horizontal="center" vertical="center" wrapText="1"/>
    </xf>
    <xf numFmtId="10" fontId="29" fillId="24" borderId="39" xfId="12" applyNumberFormat="1" applyFont="1" applyFill="1" applyBorder="1" applyAlignment="1">
      <alignment horizontal="center" vertical="center" wrapText="1"/>
    </xf>
    <xf numFmtId="9" fontId="30" fillId="24" borderId="36" xfId="12" applyNumberFormat="1" applyFont="1" applyFill="1" applyBorder="1" applyAlignment="1">
      <alignment horizontal="center" vertical="center" wrapText="1"/>
    </xf>
    <xf numFmtId="9" fontId="30" fillId="24" borderId="32" xfId="12" applyNumberFormat="1" applyFont="1" applyFill="1" applyBorder="1" applyAlignment="1">
      <alignment horizontal="center" vertical="center" wrapText="1"/>
    </xf>
    <xf numFmtId="165" fontId="30" fillId="24" borderId="34" xfId="12" applyNumberFormat="1" applyFont="1" applyFill="1" applyBorder="1" applyAlignment="1">
      <alignment vertical="center" wrapText="1"/>
    </xf>
    <xf numFmtId="164" fontId="28" fillId="25" borderId="22" xfId="12" applyNumberFormat="1" applyFont="1" applyFill="1" applyBorder="1" applyAlignment="1">
      <alignment vertical="center" wrapText="1"/>
    </xf>
    <xf numFmtId="165" fontId="30" fillId="25" borderId="21" xfId="12" applyNumberFormat="1" applyFont="1" applyFill="1" applyBorder="1" applyAlignment="1">
      <alignment horizontal="left" vertical="center" wrapText="1"/>
    </xf>
    <xf numFmtId="164" fontId="30" fillId="25" borderId="21" xfId="12" applyNumberFormat="1" applyFont="1" applyFill="1" applyBorder="1" applyAlignment="1">
      <alignment horizontal="center" vertical="center" wrapText="1"/>
    </xf>
    <xf numFmtId="10" fontId="29" fillId="25" borderId="26" xfId="12" applyNumberFormat="1" applyFont="1" applyFill="1" applyBorder="1" applyAlignment="1">
      <alignment horizontal="center" vertical="center" wrapText="1"/>
    </xf>
    <xf numFmtId="10" fontId="29" fillId="25" borderId="27" xfId="12" applyNumberFormat="1" applyFont="1" applyFill="1" applyBorder="1" applyAlignment="1">
      <alignment horizontal="center" vertical="center" wrapText="1"/>
    </xf>
    <xf numFmtId="9" fontId="30" fillId="25" borderId="21" xfId="12" applyNumberFormat="1" applyFont="1" applyFill="1" applyBorder="1" applyAlignment="1">
      <alignment horizontal="center" vertical="center" wrapText="1"/>
    </xf>
    <xf numFmtId="9" fontId="30" fillId="25" borderId="17" xfId="12" applyNumberFormat="1" applyFont="1" applyFill="1" applyBorder="1" applyAlignment="1">
      <alignment horizontal="center" vertical="center" wrapText="1"/>
    </xf>
    <xf numFmtId="164" fontId="30" fillId="25" borderId="17" xfId="12" applyNumberFormat="1" applyFont="1" applyFill="1" applyBorder="1" applyAlignment="1">
      <alignment vertical="center" wrapText="1"/>
    </xf>
    <xf numFmtId="165" fontId="30" fillId="25" borderId="16" xfId="12" applyNumberFormat="1" applyFont="1" applyFill="1" applyBorder="1" applyAlignment="1">
      <alignment vertical="center" wrapText="1"/>
    </xf>
    <xf numFmtId="164" fontId="28" fillId="25" borderId="40" xfId="12" applyNumberFormat="1" applyFont="1" applyFill="1" applyBorder="1" applyAlignment="1">
      <alignment vertical="center" wrapText="1"/>
    </xf>
    <xf numFmtId="165" fontId="30" fillId="25" borderId="36" xfId="12" applyNumberFormat="1" applyFont="1" applyFill="1" applyBorder="1" applyAlignment="1">
      <alignment horizontal="left" vertical="center" wrapText="1"/>
    </xf>
    <xf numFmtId="164" fontId="30" fillId="25" borderId="36" xfId="12" applyNumberFormat="1" applyFont="1" applyFill="1" applyBorder="1" applyAlignment="1">
      <alignment horizontal="center" vertical="center" wrapText="1"/>
    </xf>
    <xf numFmtId="10" fontId="29" fillId="25" borderId="40" xfId="12" applyNumberFormat="1" applyFont="1" applyFill="1" applyBorder="1" applyAlignment="1">
      <alignment horizontal="center" vertical="center" wrapText="1"/>
    </xf>
    <xf numFmtId="10" fontId="29" fillId="25" borderId="41" xfId="12" applyNumberFormat="1" applyFont="1" applyFill="1" applyBorder="1" applyAlignment="1">
      <alignment horizontal="center" vertical="center" wrapText="1"/>
    </xf>
    <xf numFmtId="9" fontId="30" fillId="25" borderId="36" xfId="12" applyNumberFormat="1" applyFont="1" applyFill="1" applyBorder="1" applyAlignment="1">
      <alignment horizontal="center" vertical="center" wrapText="1"/>
    </xf>
    <xf numFmtId="9" fontId="30" fillId="25" borderId="32" xfId="12" applyNumberFormat="1" applyFont="1" applyFill="1" applyBorder="1" applyAlignment="1">
      <alignment horizontal="center" vertical="center" wrapText="1"/>
    </xf>
    <xf numFmtId="164" fontId="30" fillId="25" borderId="32" xfId="12" applyNumberFormat="1" applyFont="1" applyFill="1" applyBorder="1" applyAlignment="1">
      <alignment vertical="center" wrapText="1"/>
    </xf>
    <xf numFmtId="165" fontId="30" fillId="25" borderId="34" xfId="12" applyNumberFormat="1" applyFont="1" applyFill="1" applyBorder="1" applyAlignment="1">
      <alignment vertical="center" wrapText="1"/>
    </xf>
    <xf numFmtId="10" fontId="29" fillId="24" borderId="26" xfId="12" applyNumberFormat="1" applyFont="1" applyFill="1" applyBorder="1" applyAlignment="1">
      <alignment horizontal="center" vertical="center" wrapText="1"/>
    </xf>
    <xf numFmtId="10" fontId="29" fillId="24" borderId="27" xfId="12" applyNumberFormat="1" applyFont="1" applyFill="1" applyBorder="1" applyAlignment="1">
      <alignment horizontal="center" vertical="center" wrapText="1"/>
    </xf>
    <xf numFmtId="10" fontId="29" fillId="24" borderId="40" xfId="12" applyNumberFormat="1" applyFont="1" applyFill="1" applyBorder="1" applyAlignment="1">
      <alignment horizontal="center" vertical="center" wrapText="1"/>
    </xf>
    <xf numFmtId="10" fontId="29" fillId="24" borderId="41" xfId="12" applyNumberFormat="1" applyFont="1" applyFill="1" applyBorder="1" applyAlignment="1">
      <alignment horizontal="center" vertical="center" wrapText="1"/>
    </xf>
    <xf numFmtId="2" fontId="30" fillId="24" borderId="17" xfId="12" applyNumberFormat="1" applyFont="1" applyFill="1" applyBorder="1" applyAlignment="1">
      <alignment vertical="center" wrapText="1"/>
    </xf>
    <xf numFmtId="165" fontId="30" fillId="24" borderId="21" xfId="12" applyNumberFormat="1" applyFont="1" applyFill="1" applyBorder="1" applyAlignment="1">
      <alignment horizontal="center" vertical="center" wrapText="1"/>
    </xf>
    <xf numFmtId="2" fontId="30" fillId="24" borderId="32" xfId="12" applyNumberFormat="1" applyFont="1" applyFill="1" applyBorder="1" applyAlignment="1">
      <alignment vertical="center" wrapText="1"/>
    </xf>
    <xf numFmtId="165" fontId="30" fillId="24" borderId="36" xfId="12" applyNumberFormat="1" applyFont="1" applyFill="1" applyBorder="1" applyAlignment="1">
      <alignment horizontal="center" vertical="center" wrapText="1"/>
    </xf>
    <xf numFmtId="165" fontId="30" fillId="25" borderId="21" xfId="12" applyNumberFormat="1" applyFont="1" applyFill="1" applyBorder="1" applyAlignment="1">
      <alignment horizontal="center" vertical="center" wrapText="1"/>
    </xf>
    <xf numFmtId="165" fontId="30" fillId="25" borderId="36" xfId="12" applyNumberFormat="1" applyFont="1" applyFill="1" applyBorder="1" applyAlignment="1">
      <alignment horizontal="center" vertical="center" wrapText="1"/>
    </xf>
    <xf numFmtId="10" fontId="29" fillId="24" borderId="22" xfId="12" applyNumberFormat="1" applyFont="1" applyFill="1" applyBorder="1" applyAlignment="1">
      <alignment horizontal="center" vertical="center" wrapText="1"/>
    </xf>
    <xf numFmtId="10" fontId="29" fillId="24" borderId="28" xfId="12" applyNumberFormat="1" applyFont="1" applyFill="1" applyBorder="1" applyAlignment="1">
      <alignment horizontal="center" vertical="center" wrapText="1"/>
    </xf>
    <xf numFmtId="10" fontId="30" fillId="25" borderId="24" xfId="12" applyNumberFormat="1" applyFont="1" applyFill="1" applyBorder="1" applyAlignment="1">
      <alignment horizontal="center" vertical="center" wrapText="1"/>
    </xf>
    <xf numFmtId="10" fontId="29" fillId="25" borderId="25" xfId="12" applyNumberFormat="1" applyFont="1" applyFill="1" applyBorder="1" applyAlignment="1">
      <alignment horizontal="center" vertical="center" wrapText="1"/>
    </xf>
    <xf numFmtId="10" fontId="30" fillId="25" borderId="37" xfId="12" applyNumberFormat="1" applyFont="1" applyFill="1" applyBorder="1" applyAlignment="1">
      <alignment horizontal="center" vertical="center" wrapText="1"/>
    </xf>
    <xf numFmtId="10" fontId="29" fillId="25" borderId="39" xfId="12" applyNumberFormat="1" applyFont="1" applyFill="1" applyBorder="1" applyAlignment="1">
      <alignment horizontal="center" vertical="center" wrapText="1"/>
    </xf>
    <xf numFmtId="165" fontId="30" fillId="25" borderId="29" xfId="12" applyNumberFormat="1" applyFont="1" applyFill="1" applyBorder="1" applyAlignment="1">
      <alignment vertical="center" wrapText="1"/>
    </xf>
    <xf numFmtId="10" fontId="29" fillId="25" borderId="22" xfId="12" applyNumberFormat="1" applyFont="1" applyFill="1" applyBorder="1" applyAlignment="1">
      <alignment horizontal="center" vertical="center" wrapText="1"/>
    </xf>
    <xf numFmtId="10" fontId="29" fillId="25" borderId="28" xfId="12" applyNumberFormat="1" applyFont="1" applyFill="1" applyBorder="1" applyAlignment="1">
      <alignment horizontal="center" vertical="center" wrapText="1"/>
    </xf>
    <xf numFmtId="165" fontId="30" fillId="24" borderId="29" xfId="12" applyNumberFormat="1" applyFont="1" applyFill="1" applyBorder="1" applyAlignment="1">
      <alignment vertical="center" wrapText="1"/>
    </xf>
    <xf numFmtId="10" fontId="30" fillId="24" borderId="18" xfId="12" applyNumberFormat="1" applyFont="1" applyFill="1" applyBorder="1" applyAlignment="1">
      <alignment horizontal="center" vertical="center" wrapText="1"/>
    </xf>
    <xf numFmtId="10" fontId="29" fillId="24" borderId="23" xfId="12" applyNumberFormat="1" applyFont="1" applyFill="1" applyBorder="1" applyAlignment="1">
      <alignment horizontal="center" vertical="center" wrapText="1"/>
    </xf>
    <xf numFmtId="165" fontId="28" fillId="25" borderId="17" xfId="12" applyNumberFormat="1" applyFont="1" applyFill="1" applyBorder="1" applyAlignment="1">
      <alignment horizontal="center" vertical="center" wrapText="1"/>
    </xf>
    <xf numFmtId="167" fontId="28" fillId="25" borderId="17" xfId="12" applyNumberFormat="1" applyFont="1" applyFill="1" applyBorder="1" applyAlignment="1">
      <alignment horizontal="center" vertical="center" wrapText="1"/>
    </xf>
    <xf numFmtId="165" fontId="28" fillId="25" borderId="32" xfId="12" applyNumberFormat="1" applyFont="1" applyFill="1" applyBorder="1" applyAlignment="1">
      <alignment horizontal="center" vertical="center" wrapText="1"/>
    </xf>
    <xf numFmtId="167" fontId="28" fillId="25" borderId="32" xfId="12" applyNumberFormat="1" applyFont="1" applyFill="1" applyBorder="1" applyAlignment="1">
      <alignment horizontal="center" vertical="center" wrapText="1"/>
    </xf>
    <xf numFmtId="0" fontId="28" fillId="24" borderId="21" xfId="12" applyNumberFormat="1" applyFont="1" applyFill="1" applyBorder="1" applyAlignment="1">
      <alignment horizontal="center" vertical="center" wrapText="1"/>
    </xf>
    <xf numFmtId="165" fontId="28" fillId="24" borderId="21" xfId="12" applyNumberFormat="1" applyFont="1" applyFill="1" applyBorder="1" applyAlignment="1">
      <alignment horizontal="center" vertical="center" wrapText="1"/>
    </xf>
    <xf numFmtId="49" fontId="30" fillId="24" borderId="17" xfId="12" applyNumberFormat="1" applyFont="1" applyFill="1" applyBorder="1" applyAlignment="1">
      <alignment horizontal="center" vertical="center" wrapText="1"/>
    </xf>
    <xf numFmtId="0" fontId="28" fillId="24" borderId="36" xfId="12" applyNumberFormat="1" applyFont="1" applyFill="1" applyBorder="1" applyAlignment="1">
      <alignment horizontal="center" vertical="center" wrapText="1"/>
    </xf>
    <xf numFmtId="165" fontId="28" fillId="24" borderId="36" xfId="12" applyNumberFormat="1" applyFont="1" applyFill="1" applyBorder="1" applyAlignment="1">
      <alignment horizontal="center" vertical="center" wrapText="1"/>
    </xf>
    <xf numFmtId="49" fontId="30" fillId="24" borderId="32" xfId="12" applyNumberFormat="1" applyFont="1" applyFill="1" applyBorder="1" applyAlignment="1">
      <alignment horizontal="center" vertical="center" wrapText="1"/>
    </xf>
    <xf numFmtId="0" fontId="30" fillId="25" borderId="21" xfId="12" applyNumberFormat="1" applyFont="1" applyFill="1" applyBorder="1" applyAlignment="1">
      <alignment horizontal="center" vertical="center" wrapText="1"/>
    </xf>
    <xf numFmtId="49" fontId="30" fillId="25" borderId="17" xfId="12" applyNumberFormat="1" applyFont="1" applyFill="1" applyBorder="1" applyAlignment="1">
      <alignment vertical="center" wrapText="1"/>
    </xf>
    <xf numFmtId="49" fontId="30" fillId="25" borderId="17" xfId="12" applyNumberFormat="1" applyFont="1" applyFill="1" applyBorder="1" applyAlignment="1">
      <alignment horizontal="center" vertical="center" wrapText="1"/>
    </xf>
    <xf numFmtId="0" fontId="30" fillId="25" borderId="36" xfId="12" applyNumberFormat="1" applyFont="1" applyFill="1" applyBorder="1" applyAlignment="1">
      <alignment horizontal="center" vertical="center" wrapText="1"/>
    </xf>
    <xf numFmtId="49" fontId="30" fillId="25" borderId="32" xfId="12" applyNumberFormat="1" applyFont="1" applyFill="1" applyBorder="1" applyAlignment="1">
      <alignment vertical="center" wrapText="1"/>
    </xf>
    <xf numFmtId="49" fontId="30" fillId="25" borderId="32" xfId="12" applyNumberFormat="1" applyFont="1" applyFill="1" applyBorder="1" applyAlignment="1">
      <alignment horizontal="center" vertical="center" wrapText="1"/>
    </xf>
    <xf numFmtId="0" fontId="30" fillId="24" borderId="21" xfId="12" applyNumberFormat="1" applyFont="1" applyFill="1" applyBorder="1" applyAlignment="1">
      <alignment horizontal="center" vertical="center" wrapText="1"/>
    </xf>
    <xf numFmtId="49" fontId="30" fillId="24" borderId="17" xfId="12" applyNumberFormat="1" applyFont="1" applyFill="1" applyBorder="1" applyAlignment="1">
      <alignment vertical="center" wrapText="1"/>
    </xf>
    <xf numFmtId="0" fontId="30" fillId="24" borderId="36" xfId="12" applyNumberFormat="1" applyFont="1" applyFill="1" applyBorder="1" applyAlignment="1">
      <alignment horizontal="center" vertical="center" wrapText="1"/>
    </xf>
    <xf numFmtId="49" fontId="30" fillId="24" borderId="32" xfId="12" applyNumberFormat="1" applyFont="1" applyFill="1" applyBorder="1" applyAlignment="1">
      <alignment vertical="center" wrapText="1"/>
    </xf>
    <xf numFmtId="165" fontId="28" fillId="24" borderId="22" xfId="12" applyNumberFormat="1" applyFont="1" applyFill="1" applyBorder="1" applyAlignment="1">
      <alignment vertical="center" wrapText="1"/>
    </xf>
    <xf numFmtId="165" fontId="28" fillId="24" borderId="40" xfId="12" applyNumberFormat="1" applyFont="1" applyFill="1" applyBorder="1" applyAlignment="1">
      <alignment vertical="center" wrapText="1"/>
    </xf>
    <xf numFmtId="165" fontId="30" fillId="25" borderId="22" xfId="12" applyNumberFormat="1" applyFont="1" applyFill="1" applyBorder="1" applyAlignment="1">
      <alignment horizontal="left" vertical="center" wrapText="1"/>
    </xf>
    <xf numFmtId="165" fontId="30" fillId="25" borderId="40" xfId="12" applyNumberFormat="1" applyFont="1" applyFill="1" applyBorder="1" applyAlignment="1">
      <alignment horizontal="left" vertical="center" wrapText="1"/>
    </xf>
    <xf numFmtId="165" fontId="30" fillId="25" borderId="18" xfId="12" applyNumberFormat="1" applyFont="1" applyFill="1" applyBorder="1" applyAlignment="1">
      <alignment horizontal="center" vertical="center" wrapText="1"/>
    </xf>
    <xf numFmtId="165" fontId="30" fillId="25" borderId="37" xfId="12" applyNumberFormat="1" applyFont="1" applyFill="1" applyBorder="1" applyAlignment="1">
      <alignment horizontal="center" vertical="center" wrapText="1"/>
    </xf>
    <xf numFmtId="165" fontId="30" fillId="24" borderId="18" xfId="12" applyNumberFormat="1" applyFont="1" applyFill="1" applyBorder="1" applyAlignment="1">
      <alignment horizontal="center" vertical="center" wrapText="1"/>
    </xf>
    <xf numFmtId="165" fontId="30" fillId="24" borderId="37" xfId="12" applyNumberFormat="1" applyFont="1" applyFill="1" applyBorder="1" applyAlignment="1">
      <alignment horizontal="center" vertical="center" wrapText="1"/>
    </xf>
    <xf numFmtId="0" fontId="28" fillId="25" borderId="21" xfId="12" applyNumberFormat="1" applyFont="1" applyFill="1" applyBorder="1" applyAlignment="1">
      <alignment horizontal="center" vertical="center" wrapText="1"/>
    </xf>
    <xf numFmtId="165" fontId="28" fillId="25" borderId="21" xfId="12" applyNumberFormat="1" applyFont="1" applyFill="1" applyBorder="1" applyAlignment="1">
      <alignment horizontal="center" vertical="center" wrapText="1"/>
    </xf>
    <xf numFmtId="165" fontId="28" fillId="25" borderId="16" xfId="12" applyNumberFormat="1" applyFont="1" applyFill="1" applyBorder="1" applyAlignment="1">
      <alignment vertical="center" wrapText="1"/>
    </xf>
    <xf numFmtId="0" fontId="28" fillId="25" borderId="36" xfId="12" applyNumberFormat="1" applyFont="1" applyFill="1" applyBorder="1" applyAlignment="1">
      <alignment horizontal="center" vertical="center" wrapText="1"/>
    </xf>
    <xf numFmtId="165" fontId="28" fillId="25" borderId="36" xfId="12" applyNumberFormat="1" applyFont="1" applyFill="1" applyBorder="1" applyAlignment="1">
      <alignment horizontal="center" vertical="center" wrapText="1"/>
    </xf>
    <xf numFmtId="165" fontId="28" fillId="25" borderId="34" xfId="12" applyNumberFormat="1" applyFont="1" applyFill="1" applyBorder="1" applyAlignment="1">
      <alignment vertical="center" wrapText="1"/>
    </xf>
    <xf numFmtId="165" fontId="28" fillId="25" borderId="22" xfId="12" applyNumberFormat="1" applyFont="1" applyFill="1" applyBorder="1" applyAlignment="1">
      <alignment vertical="center" wrapText="1"/>
    </xf>
    <xf numFmtId="165" fontId="28" fillId="25" borderId="40" xfId="12" applyNumberFormat="1" applyFont="1" applyFill="1" applyBorder="1" applyAlignment="1">
      <alignment vertical="center" wrapText="1"/>
    </xf>
    <xf numFmtId="49" fontId="29" fillId="25" borderId="16" xfId="12" applyNumberFormat="1" applyFont="1" applyFill="1" applyBorder="1" applyAlignment="1">
      <alignment vertical="center" wrapText="1"/>
    </xf>
    <xf numFmtId="49" fontId="29" fillId="25" borderId="34" xfId="12" applyNumberFormat="1" applyFont="1" applyFill="1" applyBorder="1" applyAlignment="1">
      <alignment vertical="center" wrapText="1"/>
    </xf>
    <xf numFmtId="165" fontId="30" fillId="25" borderId="22" xfId="12" applyNumberFormat="1" applyFont="1" applyFill="1" applyBorder="1" applyAlignment="1">
      <alignment vertical="center" wrapText="1"/>
    </xf>
    <xf numFmtId="165" fontId="30" fillId="25" borderId="40" xfId="12" applyNumberFormat="1" applyFont="1" applyFill="1" applyBorder="1" applyAlignment="1">
      <alignment vertical="center" wrapText="1"/>
    </xf>
    <xf numFmtId="165" fontId="30" fillId="24" borderId="22" xfId="12" applyNumberFormat="1" applyFont="1" applyFill="1" applyBorder="1" applyAlignment="1">
      <alignment vertical="center" wrapText="1"/>
    </xf>
    <xf numFmtId="165" fontId="30" fillId="24" borderId="40" xfId="12" applyNumberFormat="1" applyFont="1" applyFill="1" applyBorder="1" applyAlignment="1">
      <alignment vertical="center" wrapText="1"/>
    </xf>
    <xf numFmtId="165" fontId="28" fillId="25" borderId="21" xfId="12" applyNumberFormat="1" applyFont="1" applyFill="1" applyBorder="1" applyAlignment="1">
      <alignment vertical="center" wrapText="1"/>
    </xf>
    <xf numFmtId="165" fontId="28" fillId="25" borderId="36" xfId="12" applyNumberFormat="1" applyFont="1" applyFill="1" applyBorder="1" applyAlignment="1">
      <alignment vertical="center" wrapText="1"/>
    </xf>
    <xf numFmtId="165" fontId="30" fillId="24" borderId="21" xfId="12" applyNumberFormat="1" applyFont="1" applyFill="1" applyBorder="1" applyAlignment="1">
      <alignment vertical="center" wrapText="1"/>
    </xf>
    <xf numFmtId="165" fontId="30" fillId="24" borderId="36" xfId="12" applyNumberFormat="1" applyFont="1" applyFill="1" applyBorder="1" applyAlignment="1">
      <alignment vertical="center" wrapText="1"/>
    </xf>
    <xf numFmtId="165" fontId="30" fillId="25" borderId="21" xfId="12" applyNumberFormat="1" applyFont="1" applyFill="1" applyBorder="1" applyAlignment="1">
      <alignment vertical="center" wrapText="1"/>
    </xf>
    <xf numFmtId="165" fontId="30" fillId="25" borderId="36" xfId="12" applyNumberFormat="1" applyFont="1" applyFill="1" applyBorder="1" applyAlignment="1">
      <alignment vertical="center" wrapText="1"/>
    </xf>
    <xf numFmtId="165" fontId="28" fillId="24" borderId="21" xfId="12" applyNumberFormat="1" applyFont="1" applyFill="1" applyBorder="1" applyAlignment="1">
      <alignment vertical="center" wrapText="1"/>
    </xf>
    <xf numFmtId="165" fontId="28" fillId="24" borderId="36" xfId="12" applyNumberFormat="1" applyFont="1" applyFill="1" applyBorder="1" applyAlignment="1">
      <alignment vertical="center" wrapText="1"/>
    </xf>
    <xf numFmtId="0" fontId="30" fillId="25" borderId="17" xfId="12" applyNumberFormat="1" applyFont="1" applyFill="1" applyBorder="1" applyAlignment="1">
      <alignment vertical="center" wrapText="1"/>
    </xf>
    <xf numFmtId="0" fontId="30" fillId="25" borderId="32" xfId="12" applyNumberFormat="1" applyFont="1" applyFill="1" applyBorder="1" applyAlignment="1">
      <alignment vertical="center" wrapText="1"/>
    </xf>
    <xf numFmtId="0" fontId="30" fillId="24" borderId="17" xfId="12" applyNumberFormat="1" applyFont="1" applyFill="1" applyBorder="1" applyAlignment="1">
      <alignment vertical="center" wrapText="1"/>
    </xf>
    <xf numFmtId="0" fontId="30" fillId="24" borderId="32" xfId="12" applyNumberFormat="1" applyFont="1" applyFill="1" applyBorder="1" applyAlignment="1">
      <alignment vertical="center" wrapText="1"/>
    </xf>
    <xf numFmtId="164" fontId="28" fillId="25" borderId="16" xfId="12" applyNumberFormat="1" applyFont="1" applyFill="1" applyBorder="1" applyAlignment="1">
      <alignment vertical="center" wrapText="1"/>
    </xf>
    <xf numFmtId="164" fontId="28" fillId="25" borderId="34" xfId="12" applyNumberFormat="1" applyFont="1" applyFill="1" applyBorder="1" applyAlignment="1">
      <alignment vertical="center" wrapText="1"/>
    </xf>
    <xf numFmtId="165" fontId="30" fillId="24" borderId="18" xfId="12" applyNumberFormat="1" applyFont="1" applyFill="1" applyBorder="1" applyAlignment="1">
      <alignment vertical="center" wrapText="1"/>
    </xf>
    <xf numFmtId="165" fontId="30" fillId="24" borderId="37" xfId="12" applyNumberFormat="1" applyFont="1" applyFill="1" applyBorder="1" applyAlignment="1">
      <alignment vertical="center" wrapText="1"/>
    </xf>
    <xf numFmtId="165" fontId="30" fillId="25" borderId="18" xfId="12" applyNumberFormat="1" applyFont="1" applyFill="1" applyBorder="1" applyAlignment="1">
      <alignment vertical="center" wrapText="1"/>
    </xf>
    <xf numFmtId="165" fontId="30" fillId="25" borderId="37" xfId="12" applyNumberFormat="1" applyFont="1" applyFill="1" applyBorder="1" applyAlignment="1">
      <alignment vertical="center" wrapText="1"/>
    </xf>
    <xf numFmtId="0" fontId="28" fillId="26" borderId="19" xfId="12" applyNumberFormat="1" applyFont="1" applyFill="1" applyBorder="1" applyAlignment="1">
      <alignment horizontal="center" vertical="center" wrapText="1"/>
    </xf>
    <xf numFmtId="165" fontId="28" fillId="26" borderId="20" xfId="12" applyNumberFormat="1" applyFont="1" applyFill="1" applyBorder="1" applyAlignment="1">
      <alignment horizontal="center" vertical="center" wrapText="1"/>
    </xf>
    <xf numFmtId="165" fontId="28" fillId="26" borderId="20" xfId="12" applyNumberFormat="1" applyFont="1" applyFill="1" applyBorder="1" applyAlignment="1">
      <alignment vertical="center" wrapText="1"/>
    </xf>
    <xf numFmtId="165" fontId="30" fillId="26" borderId="20" xfId="12" applyNumberFormat="1" applyFont="1" applyFill="1" applyBorder="1" applyAlignment="1">
      <alignment horizontal="left" vertical="center" wrapText="1"/>
    </xf>
    <xf numFmtId="165" fontId="30" fillId="26" borderId="20" xfId="12" applyNumberFormat="1" applyFont="1" applyFill="1" applyBorder="1" applyAlignment="1">
      <alignment horizontal="center" vertical="center" wrapText="1"/>
    </xf>
    <xf numFmtId="0" fontId="30" fillId="26" borderId="20" xfId="12" applyNumberFormat="1" applyFont="1" applyFill="1" applyBorder="1" applyAlignment="1">
      <alignment horizontal="center" vertical="center" wrapText="1"/>
    </xf>
    <xf numFmtId="164" fontId="30" fillId="26" borderId="20" xfId="12" applyNumberFormat="1" applyFont="1" applyFill="1" applyBorder="1" applyAlignment="1">
      <alignment vertical="center" wrapText="1"/>
    </xf>
    <xf numFmtId="10" fontId="28" fillId="26" borderId="17" xfId="12" applyNumberFormat="1" applyFont="1" applyFill="1" applyBorder="1" applyAlignment="1">
      <alignment horizontal="center" vertical="center" wrapText="1"/>
    </xf>
    <xf numFmtId="164" fontId="28" fillId="26" borderId="17" xfId="12" applyNumberFormat="1" applyFont="1" applyFill="1" applyBorder="1" applyAlignment="1">
      <alignment vertical="center" wrapText="1"/>
    </xf>
    <xf numFmtId="164" fontId="30" fillId="26" borderId="16" xfId="12" applyNumberFormat="1" applyFont="1" applyFill="1" applyBorder="1" applyAlignment="1">
      <alignment vertical="center" wrapText="1"/>
    </xf>
    <xf numFmtId="165" fontId="30" fillId="26" borderId="16" xfId="12" applyNumberFormat="1" applyFont="1" applyFill="1" applyBorder="1" applyAlignment="1">
      <alignment vertical="center" wrapText="1"/>
    </xf>
    <xf numFmtId="0" fontId="31" fillId="26" borderId="19" xfId="12" applyNumberFormat="1" applyFont="1" applyFill="1" applyBorder="1" applyAlignment="1">
      <alignment horizontal="center" vertical="center" wrapText="1"/>
    </xf>
    <xf numFmtId="165" fontId="31" fillId="26" borderId="20" xfId="12" applyNumberFormat="1" applyFont="1" applyFill="1" applyBorder="1" applyAlignment="1">
      <alignment horizontal="center" vertical="center" wrapText="1"/>
    </xf>
    <xf numFmtId="165" fontId="31" fillId="26" borderId="20" xfId="12" applyNumberFormat="1" applyFont="1" applyFill="1" applyBorder="1" applyAlignment="1">
      <alignment vertical="center" wrapText="1"/>
    </xf>
    <xf numFmtId="165" fontId="31" fillId="26" borderId="20" xfId="12" applyNumberFormat="1" applyFont="1" applyFill="1" applyBorder="1" applyAlignment="1">
      <alignment horizontal="left" vertical="center" wrapText="1"/>
    </xf>
    <xf numFmtId="0" fontId="31" fillId="26" borderId="20" xfId="12" applyNumberFormat="1" applyFont="1" applyFill="1" applyBorder="1" applyAlignment="1">
      <alignment horizontal="center" vertical="center" wrapText="1"/>
    </xf>
    <xf numFmtId="164" fontId="31" fillId="26" borderId="20" xfId="12" applyNumberFormat="1" applyFont="1" applyFill="1" applyBorder="1" applyAlignment="1">
      <alignment vertical="center" wrapText="1"/>
    </xf>
    <xf numFmtId="10" fontId="31" fillId="26" borderId="17" xfId="12" applyNumberFormat="1" applyFont="1" applyFill="1" applyBorder="1" applyAlignment="1">
      <alignment horizontal="center" vertical="center" wrapText="1"/>
    </xf>
    <xf numFmtId="164" fontId="31" fillId="26" borderId="17" xfId="12" applyNumberFormat="1" applyFont="1" applyFill="1" applyBorder="1" applyAlignment="1">
      <alignment vertical="center" wrapText="1"/>
    </xf>
    <xf numFmtId="164" fontId="31" fillId="26" borderId="16" xfId="12" applyNumberFormat="1" applyFont="1" applyFill="1" applyBorder="1" applyAlignment="1">
      <alignment vertical="center" wrapText="1"/>
    </xf>
    <xf numFmtId="165" fontId="31" fillId="26" borderId="16" xfId="12" applyNumberFormat="1" applyFont="1" applyFill="1" applyBorder="1" applyAlignment="1">
      <alignment vertical="center" wrapText="1"/>
    </xf>
    <xf numFmtId="0" fontId="31" fillId="26" borderId="42" xfId="12" applyNumberFormat="1" applyFont="1" applyFill="1" applyBorder="1" applyAlignment="1">
      <alignment horizontal="center" vertical="center" wrapText="1"/>
    </xf>
    <xf numFmtId="165" fontId="31" fillId="26" borderId="43" xfId="12" applyNumberFormat="1" applyFont="1" applyFill="1" applyBorder="1" applyAlignment="1">
      <alignment horizontal="center" vertical="center" wrapText="1"/>
    </xf>
    <xf numFmtId="165" fontId="31" fillId="26" borderId="43" xfId="12" applyNumberFormat="1" applyFont="1" applyFill="1" applyBorder="1" applyAlignment="1">
      <alignment vertical="center" wrapText="1"/>
    </xf>
    <xf numFmtId="165" fontId="31" fillId="26" borderId="43" xfId="12" applyNumberFormat="1" applyFont="1" applyFill="1" applyBorder="1" applyAlignment="1">
      <alignment horizontal="left" vertical="center" wrapText="1"/>
    </xf>
    <xf numFmtId="0" fontId="31" fillId="26" borderId="43" xfId="12" applyNumberFormat="1" applyFont="1" applyFill="1" applyBorder="1" applyAlignment="1">
      <alignment horizontal="center" vertical="center" wrapText="1"/>
    </xf>
    <xf numFmtId="164" fontId="31" fillId="26" borderId="43" xfId="12" applyNumberFormat="1" applyFont="1" applyFill="1" applyBorder="1" applyAlignment="1">
      <alignment vertical="center" wrapText="1"/>
    </xf>
    <xf numFmtId="10" fontId="31" fillId="26" borderId="33" xfId="12" applyNumberFormat="1" applyFont="1" applyFill="1" applyBorder="1" applyAlignment="1">
      <alignment horizontal="center" vertical="center" wrapText="1"/>
    </xf>
    <xf numFmtId="164" fontId="31" fillId="26" borderId="33" xfId="12" applyNumberFormat="1" applyFont="1" applyFill="1" applyBorder="1" applyAlignment="1">
      <alignment vertical="center" wrapText="1"/>
    </xf>
    <xf numFmtId="164" fontId="31" fillId="26" borderId="35" xfId="12" applyNumberFormat="1" applyFont="1" applyFill="1" applyBorder="1" applyAlignment="1">
      <alignment vertical="center" wrapText="1"/>
    </xf>
    <xf numFmtId="165" fontId="31" fillId="26" borderId="35" xfId="12" applyNumberFormat="1" applyFont="1" applyFill="1" applyBorder="1" applyAlignment="1">
      <alignment vertical="center" wrapText="1"/>
    </xf>
    <xf numFmtId="164" fontId="31" fillId="26" borderId="43" xfId="12" applyNumberFormat="1" applyFont="1" applyFill="1" applyBorder="1" applyAlignment="1">
      <alignment horizontal="center" vertical="center" wrapText="1"/>
    </xf>
    <xf numFmtId="164" fontId="31" fillId="26" borderId="33" xfId="12" applyNumberFormat="1" applyFont="1" applyFill="1" applyBorder="1" applyAlignment="1">
      <alignment horizontal="center" vertical="center" wrapText="1"/>
    </xf>
    <xf numFmtId="164" fontId="31" fillId="26" borderId="35" xfId="12" applyNumberFormat="1" applyFont="1" applyFill="1" applyBorder="1" applyAlignment="1">
      <alignment horizontal="center" vertical="center" wrapText="1"/>
    </xf>
    <xf numFmtId="165" fontId="31" fillId="26" borderId="35" xfId="12" applyNumberFormat="1" applyFont="1" applyFill="1" applyBorder="1" applyAlignment="1">
      <alignment horizontal="center" vertical="center" wrapText="1"/>
    </xf>
    <xf numFmtId="10" fontId="30" fillId="24" borderId="37" xfId="12" applyNumberFormat="1" applyFont="1" applyFill="1" applyBorder="1" applyAlignment="1">
      <alignment horizontal="right" vertical="center" wrapText="1"/>
    </xf>
    <xf numFmtId="9" fontId="30" fillId="24" borderId="36" xfId="12" applyNumberFormat="1" applyFont="1" applyFill="1" applyBorder="1" applyAlignment="1">
      <alignment horizontal="right" vertical="center" wrapText="1"/>
    </xf>
    <xf numFmtId="9" fontId="30" fillId="24" borderId="32" xfId="12" applyNumberFormat="1" applyFont="1" applyFill="1" applyBorder="1" applyAlignment="1">
      <alignment horizontal="right" vertical="center" wrapText="1"/>
    </xf>
    <xf numFmtId="0" fontId="37" fillId="25" borderId="32" xfId="12" applyNumberFormat="1" applyFont="1" applyFill="1" applyBorder="1" applyAlignment="1">
      <alignment horizontal="center" vertical="center" wrapText="1"/>
    </xf>
    <xf numFmtId="0" fontId="37" fillId="25" borderId="32" xfId="12" applyNumberFormat="1" applyFont="1" applyFill="1" applyBorder="1" applyAlignment="1">
      <alignment horizontal="right" vertical="center" wrapText="1"/>
    </xf>
    <xf numFmtId="9" fontId="30" fillId="25" borderId="36" xfId="12" applyNumberFormat="1" applyFont="1" applyFill="1" applyBorder="1" applyAlignment="1">
      <alignment horizontal="right" vertical="center" wrapText="1"/>
    </xf>
    <xf numFmtId="9" fontId="30" fillId="25" borderId="32" xfId="12" applyNumberFormat="1" applyFont="1" applyFill="1" applyBorder="1" applyAlignment="1">
      <alignment horizontal="right" vertical="center" wrapText="1"/>
    </xf>
    <xf numFmtId="10" fontId="30" fillId="25" borderId="37" xfId="12" applyNumberFormat="1" applyFont="1" applyFill="1" applyBorder="1" applyAlignment="1">
      <alignment horizontal="right" vertical="center" wrapText="1"/>
    </xf>
    <xf numFmtId="164" fontId="30" fillId="25" borderId="34" xfId="12" applyNumberFormat="1" applyFont="1" applyFill="1" applyBorder="1" applyAlignment="1">
      <alignment vertical="center" wrapText="1"/>
    </xf>
    <xf numFmtId="0" fontId="38" fillId="25" borderId="36" xfId="12" applyNumberFormat="1" applyFont="1" applyFill="1" applyBorder="1" applyAlignment="1">
      <alignment horizontal="center" vertical="center" wrapText="1"/>
    </xf>
    <xf numFmtId="165" fontId="38" fillId="25" borderId="36" xfId="12" applyNumberFormat="1" applyFont="1" applyFill="1" applyBorder="1" applyAlignment="1">
      <alignment horizontal="center" vertical="center" wrapText="1"/>
    </xf>
    <xf numFmtId="165" fontId="38" fillId="25" borderId="32" xfId="12" applyNumberFormat="1" applyFont="1" applyFill="1" applyBorder="1" applyAlignment="1">
      <alignment vertical="center" wrapText="1"/>
    </xf>
    <xf numFmtId="165" fontId="38" fillId="25" borderId="32" xfId="12" applyNumberFormat="1" applyFont="1" applyFill="1" applyBorder="1" applyAlignment="1">
      <alignment horizontal="left" vertical="center" wrapText="1"/>
    </xf>
    <xf numFmtId="165" fontId="38" fillId="25" borderId="32" xfId="12" applyNumberFormat="1" applyFont="1" applyFill="1" applyBorder="1" applyAlignment="1">
      <alignment horizontal="center" vertical="center" wrapText="1"/>
    </xf>
    <xf numFmtId="49" fontId="38" fillId="25" borderId="32" xfId="12" applyNumberFormat="1" applyFont="1" applyFill="1" applyBorder="1" applyAlignment="1">
      <alignment horizontal="center" vertical="center" wrapText="1"/>
    </xf>
    <xf numFmtId="0" fontId="38" fillId="25" borderId="32" xfId="12" applyNumberFormat="1" applyFont="1" applyFill="1" applyBorder="1" applyAlignment="1">
      <alignment horizontal="center" vertical="center" wrapText="1"/>
    </xf>
    <xf numFmtId="165" fontId="39" fillId="25" borderId="32" xfId="12" applyNumberFormat="1" applyFont="1" applyFill="1" applyBorder="1" applyAlignment="1">
      <alignment vertical="center" wrapText="1"/>
    </xf>
    <xf numFmtId="9" fontId="39" fillId="25" borderId="32" xfId="12" applyNumberFormat="1" applyFont="1" applyFill="1" applyBorder="1" applyAlignment="1">
      <alignment horizontal="center" vertical="center" wrapText="1"/>
    </xf>
    <xf numFmtId="164" fontId="39" fillId="25" borderId="34" xfId="12" applyNumberFormat="1" applyFont="1" applyFill="1" applyBorder="1" applyAlignment="1">
      <alignment vertical="center" wrapText="1"/>
    </xf>
    <xf numFmtId="165" fontId="38" fillId="25" borderId="34" xfId="12" applyNumberFormat="1" applyFont="1" applyFill="1" applyBorder="1" applyAlignment="1">
      <alignment vertical="center" wrapText="1"/>
    </xf>
    <xf numFmtId="164" fontId="38" fillId="25" borderId="34" xfId="12" applyNumberFormat="1" applyFont="1" applyFill="1" applyBorder="1" applyAlignment="1">
      <alignment vertical="center" wrapText="1"/>
    </xf>
    <xf numFmtId="0" fontId="38" fillId="25" borderId="44" xfId="12" applyNumberFormat="1" applyFont="1" applyFill="1" applyBorder="1" applyAlignment="1">
      <alignment horizontal="center" vertical="center" wrapText="1"/>
    </xf>
    <xf numFmtId="165" fontId="38" fillId="25" borderId="44" xfId="12" applyNumberFormat="1" applyFont="1" applyFill="1" applyBorder="1" applyAlignment="1">
      <alignment horizontal="center" vertical="center" wrapText="1"/>
    </xf>
    <xf numFmtId="165" fontId="38" fillId="25" borderId="45" xfId="12" applyNumberFormat="1" applyFont="1" applyFill="1" applyBorder="1" applyAlignment="1">
      <alignment vertical="center" wrapText="1"/>
    </xf>
    <xf numFmtId="165" fontId="38" fillId="25" borderId="45" xfId="12" applyNumberFormat="1" applyFont="1" applyFill="1" applyBorder="1" applyAlignment="1">
      <alignment horizontal="left" vertical="center" wrapText="1"/>
    </xf>
    <xf numFmtId="165" fontId="38" fillId="25" borderId="45" xfId="12" applyNumberFormat="1" applyFont="1" applyFill="1" applyBorder="1" applyAlignment="1">
      <alignment horizontal="center" vertical="center" wrapText="1"/>
    </xf>
    <xf numFmtId="49" fontId="38" fillId="25" borderId="45" xfId="12" applyNumberFormat="1" applyFont="1" applyFill="1" applyBorder="1" applyAlignment="1">
      <alignment horizontal="center" vertical="center" wrapText="1"/>
    </xf>
    <xf numFmtId="0" fontId="38" fillId="25" borderId="45" xfId="12" applyNumberFormat="1" applyFont="1" applyFill="1" applyBorder="1" applyAlignment="1">
      <alignment horizontal="center" vertical="center" wrapText="1"/>
    </xf>
    <xf numFmtId="165" fontId="39" fillId="25" borderId="45" xfId="12" applyNumberFormat="1" applyFont="1" applyFill="1" applyBorder="1" applyAlignment="1">
      <alignment vertical="center" wrapText="1"/>
    </xf>
    <xf numFmtId="9" fontId="39" fillId="25" borderId="45" xfId="12" applyNumberFormat="1" applyFont="1" applyFill="1" applyBorder="1" applyAlignment="1">
      <alignment horizontal="center" vertical="center" wrapText="1"/>
    </xf>
    <xf numFmtId="164" fontId="39" fillId="25" borderId="46" xfId="12" applyNumberFormat="1" applyFont="1" applyFill="1" applyBorder="1" applyAlignment="1">
      <alignment vertical="center" wrapText="1"/>
    </xf>
    <xf numFmtId="165" fontId="38" fillId="25" borderId="46" xfId="12" applyNumberFormat="1" applyFont="1" applyFill="1" applyBorder="1" applyAlignment="1">
      <alignment vertical="center" wrapText="1"/>
    </xf>
    <xf numFmtId="164" fontId="38" fillId="25" borderId="46" xfId="12" applyNumberFormat="1" applyFont="1" applyFill="1" applyBorder="1" applyAlignment="1">
      <alignment vertical="center" wrapText="1"/>
    </xf>
    <xf numFmtId="0" fontId="35" fillId="25" borderId="44" xfId="12" applyNumberFormat="1" applyFont="1" applyFill="1" applyBorder="1" applyAlignment="1">
      <alignment horizontal="center" vertical="center" wrapText="1"/>
    </xf>
    <xf numFmtId="0" fontId="35" fillId="25" borderId="44" xfId="12" applyNumberFormat="1" applyFont="1" applyFill="1" applyBorder="1" applyAlignment="1">
      <alignment horizontal="right" vertical="center" wrapText="1"/>
    </xf>
    <xf numFmtId="165" fontId="28" fillId="25" borderId="45" xfId="12" applyNumberFormat="1" applyFont="1" applyFill="1" applyBorder="1" applyAlignment="1">
      <alignment vertical="center" wrapText="1"/>
    </xf>
    <xf numFmtId="165" fontId="28" fillId="25" borderId="45" xfId="12" applyNumberFormat="1" applyFont="1" applyFill="1" applyBorder="1" applyAlignment="1">
      <alignment horizontal="right" vertical="center" wrapText="1"/>
    </xf>
    <xf numFmtId="164" fontId="40" fillId="25" borderId="46" xfId="12" applyNumberFormat="1" applyFont="1" applyFill="1" applyBorder="1" applyAlignment="1">
      <alignment vertical="center" wrapText="1"/>
    </xf>
    <xf numFmtId="164" fontId="40" fillId="25" borderId="46" xfId="12" applyNumberFormat="1" applyFont="1" applyFill="1" applyBorder="1" applyAlignment="1">
      <alignment horizontal="right" vertical="center" wrapText="1"/>
    </xf>
    <xf numFmtId="164" fontId="28" fillId="25" borderId="46" xfId="12" applyNumberFormat="1" applyFont="1" applyFill="1" applyBorder="1" applyAlignment="1">
      <alignment vertical="center" wrapText="1"/>
    </xf>
    <xf numFmtId="164" fontId="28" fillId="25" borderId="46" xfId="12" applyNumberFormat="1" applyFont="1" applyFill="1" applyBorder="1" applyAlignment="1">
      <alignment horizontal="right" vertical="center" wrapText="1"/>
    </xf>
    <xf numFmtId="9" fontId="29" fillId="25" borderId="32" xfId="12" applyNumberFormat="1" applyFont="1" applyFill="1" applyBorder="1" applyAlignment="1">
      <alignment horizontal="right" vertical="center" wrapText="1"/>
    </xf>
    <xf numFmtId="9" fontId="29" fillId="24" borderId="32" xfId="12" applyNumberFormat="1" applyFont="1" applyFill="1" applyBorder="1" applyAlignment="1">
      <alignment horizontal="right" vertical="center" wrapText="1"/>
    </xf>
    <xf numFmtId="165" fontId="38" fillId="25" borderId="40" xfId="12" applyNumberFormat="1" applyFont="1" applyFill="1" applyBorder="1" applyAlignment="1">
      <alignment vertical="center" wrapText="1"/>
    </xf>
    <xf numFmtId="49" fontId="38" fillId="25" borderId="32" xfId="12" applyNumberFormat="1" applyFont="1" applyFill="1" applyBorder="1" applyAlignment="1">
      <alignment vertical="center" wrapText="1"/>
    </xf>
    <xf numFmtId="165" fontId="38" fillId="25" borderId="47" xfId="12" applyNumberFormat="1" applyFont="1" applyFill="1" applyBorder="1" applyAlignment="1">
      <alignment vertical="center" wrapText="1"/>
    </xf>
    <xf numFmtId="49" fontId="38" fillId="25" borderId="45" xfId="12" applyNumberFormat="1" applyFont="1" applyFill="1" applyBorder="1" applyAlignment="1">
      <alignment vertical="center" wrapText="1"/>
    </xf>
    <xf numFmtId="165" fontId="28" fillId="25" borderId="47" xfId="12" applyNumberFormat="1" applyFont="1" applyFill="1" applyBorder="1" applyAlignment="1">
      <alignment vertical="center" wrapText="1"/>
    </xf>
    <xf numFmtId="165" fontId="28" fillId="25" borderId="47" xfId="12" applyNumberFormat="1" applyFont="1" applyFill="1" applyBorder="1" applyAlignment="1">
      <alignment horizontal="right" vertical="center" wrapText="1"/>
    </xf>
    <xf numFmtId="165" fontId="32" fillId="25" borderId="32" xfId="12" applyNumberFormat="1" applyFont="1" applyFill="1" applyBorder="1" applyAlignment="1">
      <alignment vertical="center" wrapText="1"/>
    </xf>
    <xf numFmtId="165" fontId="32" fillId="25" borderId="32" xfId="12" applyNumberFormat="1" applyFont="1" applyFill="1" applyBorder="1" applyAlignment="1">
      <alignment horizontal="right" vertical="center" wrapText="1"/>
    </xf>
    <xf numFmtId="165" fontId="32" fillId="24" borderId="32" xfId="12" applyNumberFormat="1" applyFont="1" applyFill="1" applyBorder="1" applyAlignment="1">
      <alignment vertical="center" wrapText="1"/>
    </xf>
    <xf numFmtId="165" fontId="28" fillId="25" borderId="46" xfId="12" applyNumberFormat="1" applyFont="1" applyFill="1" applyBorder="1" applyAlignment="1">
      <alignment vertical="center" wrapText="1"/>
    </xf>
    <xf numFmtId="165" fontId="28" fillId="25" borderId="46" xfId="12" applyNumberFormat="1" applyFont="1" applyFill="1" applyBorder="1" applyAlignment="1">
      <alignment horizontal="right" vertical="center" wrapText="1"/>
    </xf>
    <xf numFmtId="165" fontId="38" fillId="25" borderId="36" xfId="12" applyNumberFormat="1" applyFont="1" applyFill="1" applyBorder="1" applyAlignment="1">
      <alignment vertical="center" wrapText="1"/>
    </xf>
    <xf numFmtId="165" fontId="38" fillId="25" borderId="44" xfId="12" applyNumberFormat="1" applyFont="1" applyFill="1" applyBorder="1" applyAlignment="1">
      <alignment vertical="center" wrapText="1"/>
    </xf>
    <xf numFmtId="165" fontId="28" fillId="25" borderId="44" xfId="12" applyNumberFormat="1" applyFont="1" applyFill="1" applyBorder="1" applyAlignment="1">
      <alignment vertical="center" wrapText="1"/>
    </xf>
    <xf numFmtId="165" fontId="28" fillId="25" borderId="44" xfId="12" applyNumberFormat="1" applyFont="1" applyFill="1" applyBorder="1" applyAlignment="1">
      <alignment horizontal="right" vertical="center" wrapText="1"/>
    </xf>
    <xf numFmtId="165" fontId="37" fillId="24" borderId="32" xfId="12" applyNumberFormat="1" applyFont="1" applyFill="1" applyBorder="1" applyAlignment="1">
      <alignment vertical="center" wrapText="1"/>
    </xf>
    <xf numFmtId="165" fontId="37" fillId="24" borderId="32" xfId="12" applyNumberFormat="1" applyFont="1" applyFill="1" applyBorder="1" applyAlignment="1">
      <alignment horizontal="right" vertical="center" wrapText="1"/>
    </xf>
    <xf numFmtId="0" fontId="28" fillId="25" borderId="45" xfId="12" applyNumberFormat="1" applyFont="1" applyFill="1" applyBorder="1" applyAlignment="1">
      <alignment horizontal="center" vertical="center" wrapText="1"/>
    </xf>
    <xf numFmtId="0" fontId="28" fillId="25" borderId="45" xfId="12" applyNumberFormat="1" applyFont="1" applyFill="1" applyBorder="1" applyAlignment="1">
      <alignment horizontal="right" vertical="center" wrapText="1"/>
    </xf>
    <xf numFmtId="0" fontId="37" fillId="25" borderId="32" xfId="12" applyNumberFormat="1" applyFont="1" applyFill="1" applyBorder="1" applyAlignment="1">
      <alignment vertical="center" wrapText="1"/>
    </xf>
    <xf numFmtId="0" fontId="30" fillId="25" borderId="32" xfId="12" applyNumberFormat="1" applyFont="1" applyFill="1" applyBorder="1" applyAlignment="1">
      <alignment horizontal="right" vertical="center" wrapText="1"/>
    </xf>
    <xf numFmtId="0" fontId="37" fillId="24" borderId="32" xfId="12" applyNumberFormat="1" applyFont="1" applyFill="1" applyBorder="1" applyAlignment="1">
      <alignment vertical="center" wrapText="1"/>
    </xf>
    <xf numFmtId="0" fontId="30" fillId="24" borderId="32" xfId="12" applyNumberFormat="1" applyFont="1" applyFill="1" applyBorder="1" applyAlignment="1">
      <alignment horizontal="right" vertical="center" wrapText="1"/>
    </xf>
    <xf numFmtId="165" fontId="28" fillId="25" borderId="32" xfId="12" applyNumberFormat="1" applyFont="1" applyFill="1" applyBorder="1" applyAlignment="1">
      <alignment horizontal="left" vertical="center" wrapText="1"/>
    </xf>
    <xf numFmtId="165" fontId="28" fillId="25" borderId="45" xfId="12" applyNumberFormat="1" applyFont="1" applyFill="1" applyBorder="1" applyAlignment="1">
      <alignment horizontal="left" vertical="center" wrapText="1"/>
    </xf>
    <xf numFmtId="0" fontId="35" fillId="25" borderId="36" xfId="12" applyNumberFormat="1" applyFont="1" applyFill="1" applyBorder="1" applyAlignment="1">
      <alignment horizontal="center" vertical="center" wrapText="1"/>
    </xf>
    <xf numFmtId="0" fontId="35" fillId="25" borderId="36" xfId="12" applyNumberFormat="1" applyFont="1" applyFill="1" applyBorder="1" applyAlignment="1">
      <alignment horizontal="right" vertical="center" wrapText="1"/>
    </xf>
    <xf numFmtId="165" fontId="28" fillId="25" borderId="36" xfId="12" applyNumberFormat="1" applyFont="1" applyFill="1" applyBorder="1" applyAlignment="1">
      <alignment horizontal="right" vertical="center" wrapText="1"/>
    </xf>
    <xf numFmtId="165" fontId="28" fillId="25" borderId="32" xfId="12" applyNumberFormat="1" applyFont="1" applyFill="1" applyBorder="1" applyAlignment="1">
      <alignment horizontal="right" vertical="center" wrapText="1"/>
    </xf>
    <xf numFmtId="165" fontId="29" fillId="15" borderId="17" xfId="12" applyNumberFormat="1" applyFont="1" applyFill="1" applyBorder="1"/>
    <xf numFmtId="165" fontId="29" fillId="15" borderId="17" xfId="12" applyNumberFormat="1" applyFont="1" applyFill="1" applyBorder="1" applyAlignment="1">
      <alignment wrapText="1"/>
    </xf>
    <xf numFmtId="165" fontId="29" fillId="15" borderId="17" xfId="12" applyNumberFormat="1" applyFont="1" applyFill="1" applyBorder="1" applyAlignment="1">
      <alignment vertical="center" wrapText="1"/>
    </xf>
    <xf numFmtId="165" fontId="41" fillId="27" borderId="48" xfId="24"/>
    <xf numFmtId="165" fontId="41" fillId="27" borderId="48" xfId="24" applyAlignment="1">
      <alignment horizontal="center"/>
    </xf>
    <xf numFmtId="165" fontId="41" fillId="27" borderId="49" xfId="24" applyBorder="1"/>
    <xf numFmtId="165" fontId="45" fillId="27" borderId="49" xfId="24" applyFont="1" applyBorder="1"/>
    <xf numFmtId="165" fontId="44" fillId="27" borderId="49" xfId="24" applyFont="1" applyBorder="1" applyAlignment="1">
      <alignment wrapText="1"/>
    </xf>
    <xf numFmtId="0" fontId="41" fillId="27" borderId="49" xfId="24" applyNumberFormat="1" applyBorder="1" applyAlignment="1">
      <alignment horizontal="center"/>
    </xf>
    <xf numFmtId="0" fontId="41" fillId="27" borderId="48" xfId="24" applyNumberFormat="1" applyAlignment="1">
      <alignment horizontal="center"/>
    </xf>
    <xf numFmtId="0" fontId="45" fillId="27" borderId="49" xfId="24" applyNumberFormat="1" applyFont="1" applyBorder="1" applyAlignment="1">
      <alignment horizontal="center"/>
    </xf>
    <xf numFmtId="165" fontId="44" fillId="27" borderId="49" xfId="24" applyFont="1" applyBorder="1"/>
    <xf numFmtId="165" fontId="41" fillId="27" borderId="49" xfId="24" applyBorder="1" applyAlignment="1">
      <alignment wrapText="1"/>
    </xf>
    <xf numFmtId="165" fontId="45" fillId="31" borderId="49" xfId="24" applyFont="1" applyFill="1" applyBorder="1" applyAlignment="1">
      <alignment wrapText="1"/>
    </xf>
    <xf numFmtId="165" fontId="45" fillId="31" borderId="49" xfId="24" applyFont="1" applyFill="1" applyBorder="1" applyAlignment="1">
      <alignment horizontal="center"/>
    </xf>
    <xf numFmtId="165" fontId="45" fillId="27" borderId="48" xfId="24" applyFont="1"/>
    <xf numFmtId="165" fontId="41" fillId="27" borderId="49" xfId="24" applyFont="1" applyFill="1" applyBorder="1" applyAlignment="1">
      <alignment wrapText="1"/>
    </xf>
    <xf numFmtId="165" fontId="45" fillId="31" borderId="49" xfId="24" applyFont="1" applyFill="1" applyBorder="1" applyAlignment="1">
      <alignment horizontal="center" wrapText="1"/>
    </xf>
    <xf numFmtId="165" fontId="44" fillId="27" borderId="49" xfId="24" applyFont="1" applyFill="1" applyBorder="1" applyAlignment="1">
      <alignment wrapText="1"/>
    </xf>
    <xf numFmtId="165" fontId="44" fillId="27" borderId="49" xfId="24" applyFont="1" applyBorder="1" applyAlignment="1">
      <alignment horizontal="center" vertical="center" wrapText="1"/>
    </xf>
    <xf numFmtId="165" fontId="44" fillId="27" borderId="49" xfId="24" applyFont="1" applyFill="1" applyBorder="1" applyAlignment="1">
      <alignment horizontal="center" vertical="center" wrapText="1"/>
    </xf>
    <xf numFmtId="0" fontId="44" fillId="27" borderId="49" xfId="32" applyNumberFormat="1" applyFont="1" applyFill="1" applyBorder="1" applyAlignment="1">
      <alignment horizontal="center"/>
    </xf>
    <xf numFmtId="165" fontId="41" fillId="32" borderId="49" xfId="24" applyFill="1" applyBorder="1" applyAlignment="1">
      <alignment horizontal="center"/>
    </xf>
    <xf numFmtId="164" fontId="41" fillId="32" borderId="49" xfId="26" applyFont="1" applyFill="1" applyBorder="1" applyAlignment="1">
      <alignment horizontal="center"/>
    </xf>
    <xf numFmtId="9" fontId="41" fillId="32" borderId="49" xfId="27" applyFont="1" applyFill="1" applyBorder="1" applyAlignment="1">
      <alignment horizontal="center"/>
    </xf>
    <xf numFmtId="0" fontId="41" fillId="32" borderId="49" xfId="24" applyNumberFormat="1" applyFill="1" applyBorder="1" applyAlignment="1">
      <alignment horizontal="center"/>
    </xf>
    <xf numFmtId="9" fontId="41" fillId="27" borderId="48" xfId="27" applyFont="1"/>
    <xf numFmtId="165" fontId="41" fillId="27" borderId="49" xfId="26" applyNumberFormat="1" applyFont="1" applyBorder="1"/>
    <xf numFmtId="9" fontId="41" fillId="29" borderId="49" xfId="27" applyFont="1" applyFill="1" applyBorder="1" applyAlignment="1">
      <alignment horizontal="center"/>
    </xf>
    <xf numFmtId="165" fontId="41" fillId="27" borderId="49" xfId="26" applyNumberFormat="1" applyFont="1" applyFill="1" applyBorder="1"/>
    <xf numFmtId="165" fontId="45" fillId="27" borderId="49" xfId="26" applyNumberFormat="1" applyFont="1" applyBorder="1"/>
    <xf numFmtId="165" fontId="44" fillId="27" borderId="49" xfId="32" applyFont="1" applyBorder="1" applyAlignment="1">
      <alignment horizontal="center" wrapText="1"/>
    </xf>
    <xf numFmtId="165" fontId="44" fillId="27" borderId="49" xfId="32" applyFont="1" applyBorder="1" applyAlignment="1">
      <alignment horizontal="center"/>
    </xf>
    <xf numFmtId="165" fontId="44" fillId="27" borderId="49" xfId="32" applyFont="1" applyBorder="1" applyAlignment="1">
      <alignment wrapText="1"/>
    </xf>
    <xf numFmtId="9" fontId="45" fillId="34" borderId="49" xfId="27" applyFont="1" applyFill="1" applyBorder="1" applyAlignment="1">
      <alignment horizontal="center"/>
    </xf>
    <xf numFmtId="9" fontId="49" fillId="27" borderId="53" xfId="27" applyFont="1" applyFill="1" applyBorder="1" applyAlignment="1">
      <alignment horizontal="center"/>
    </xf>
    <xf numFmtId="164" fontId="41" fillId="27" borderId="48" xfId="26" applyFont="1"/>
    <xf numFmtId="0" fontId="48" fillId="30" borderId="51" xfId="32" applyNumberFormat="1" applyFont="1" applyFill="1" applyBorder="1" applyAlignment="1">
      <alignment horizontal="center"/>
    </xf>
    <xf numFmtId="165" fontId="48" fillId="30" borderId="52" xfId="32" applyFont="1" applyFill="1" applyBorder="1" applyAlignment="1">
      <alignment horizontal="center"/>
    </xf>
    <xf numFmtId="165" fontId="49" fillId="30" borderId="52" xfId="32" applyFont="1" applyFill="1" applyBorder="1" applyAlignment="1">
      <alignment horizontal="left" wrapText="1"/>
    </xf>
    <xf numFmtId="165" fontId="49" fillId="30" borderId="52" xfId="32" applyFont="1" applyFill="1" applyBorder="1" applyAlignment="1">
      <alignment horizontal="center"/>
    </xf>
    <xf numFmtId="165" fontId="49" fillId="30" borderId="52" xfId="32" applyFont="1" applyFill="1" applyBorder="1" applyAlignment="1">
      <alignment horizontal="center" wrapText="1"/>
    </xf>
    <xf numFmtId="0" fontId="49" fillId="30" borderId="52" xfId="32" applyNumberFormat="1" applyFont="1" applyFill="1" applyBorder="1" applyAlignment="1">
      <alignment horizontal="center"/>
    </xf>
    <xf numFmtId="165" fontId="49" fillId="27" borderId="48" xfId="32" applyFont="1"/>
    <xf numFmtId="0" fontId="44" fillId="27" borderId="49" xfId="32" applyNumberFormat="1" applyFont="1" applyBorder="1" applyAlignment="1">
      <alignment horizontal="center" wrapText="1"/>
    </xf>
    <xf numFmtId="165" fontId="44" fillId="33" borderId="49" xfId="32" applyFont="1" applyFill="1" applyBorder="1" applyAlignment="1">
      <alignment wrapText="1"/>
    </xf>
    <xf numFmtId="165" fontId="49" fillId="27" borderId="53" xfId="32" applyFont="1" applyFill="1" applyBorder="1" applyAlignment="1">
      <alignment horizontal="left" wrapText="1"/>
    </xf>
    <xf numFmtId="165" fontId="49" fillId="27" borderId="53" xfId="32" applyFont="1" applyFill="1" applyBorder="1" applyAlignment="1">
      <alignment horizontal="center"/>
    </xf>
    <xf numFmtId="165" fontId="49" fillId="27" borderId="48" xfId="32" applyFont="1" applyFill="1"/>
    <xf numFmtId="0" fontId="45" fillId="34" borderId="49" xfId="32" applyNumberFormat="1" applyFont="1" applyFill="1" applyBorder="1" applyAlignment="1">
      <alignment horizontal="center"/>
    </xf>
    <xf numFmtId="165" fontId="45" fillId="34" borderId="49" xfId="32" applyFont="1" applyFill="1" applyBorder="1" applyAlignment="1">
      <alignment horizontal="center"/>
    </xf>
    <xf numFmtId="165" fontId="45" fillId="34" borderId="49" xfId="32" applyFont="1" applyFill="1" applyBorder="1" applyAlignment="1">
      <alignment horizontal="center" wrapText="1"/>
    </xf>
    <xf numFmtId="167" fontId="45" fillId="34" borderId="49" xfId="32" applyNumberFormat="1" applyFont="1" applyFill="1" applyBorder="1" applyAlignment="1">
      <alignment horizontal="center"/>
    </xf>
    <xf numFmtId="165" fontId="44" fillId="27" borderId="48" xfId="32"/>
    <xf numFmtId="165" fontId="45" fillId="27" borderId="53" xfId="32" applyFont="1" applyBorder="1" applyAlignment="1">
      <alignment horizontal="center"/>
    </xf>
    <xf numFmtId="165" fontId="44" fillId="27" borderId="49" xfId="32" applyFont="1" applyBorder="1" applyAlignment="1">
      <alignment horizontal="left" wrapText="1"/>
    </xf>
    <xf numFmtId="165" fontId="44" fillId="27" borderId="49" xfId="32" applyBorder="1" applyAlignment="1">
      <alignment horizontal="center"/>
    </xf>
    <xf numFmtId="0" fontId="44" fillId="27" borderId="49" xfId="32" applyNumberFormat="1" applyBorder="1" applyAlignment="1">
      <alignment horizontal="center"/>
    </xf>
    <xf numFmtId="165" fontId="44" fillId="27" borderId="49" xfId="32" applyFont="1" applyBorder="1" applyAlignment="1">
      <alignment horizontal="center" vertical="center"/>
    </xf>
    <xf numFmtId="0" fontId="44" fillId="33" borderId="49" xfId="32" applyNumberFormat="1" applyFont="1" applyFill="1" applyBorder="1" applyAlignment="1">
      <alignment horizontal="center"/>
    </xf>
    <xf numFmtId="165" fontId="44" fillId="27" borderId="48" xfId="32" applyNumberFormat="1"/>
    <xf numFmtId="165" fontId="44" fillId="27" borderId="49" xfId="32" applyFont="1" applyBorder="1"/>
    <xf numFmtId="165" fontId="44" fillId="27" borderId="53" xfId="32" applyBorder="1" applyAlignment="1">
      <alignment horizontal="center"/>
    </xf>
    <xf numFmtId="165" fontId="44" fillId="33" borderId="49" xfId="32" applyFont="1" applyFill="1" applyBorder="1" applyAlignment="1">
      <alignment horizontal="center"/>
    </xf>
    <xf numFmtId="165" fontId="45" fillId="33" borderId="53" xfId="32" applyFont="1" applyFill="1" applyBorder="1" applyAlignment="1">
      <alignment wrapText="1"/>
    </xf>
    <xf numFmtId="164" fontId="44" fillId="27" borderId="48" xfId="26"/>
    <xf numFmtId="165" fontId="44" fillId="27" borderId="50" xfId="32" applyFont="1" applyFill="1" applyBorder="1" applyAlignment="1">
      <alignment wrapText="1"/>
    </xf>
    <xf numFmtId="0" fontId="45" fillId="27" borderId="48" xfId="32" applyNumberFormat="1" applyFont="1" applyAlignment="1">
      <alignment horizontal="center"/>
    </xf>
    <xf numFmtId="165" fontId="44" fillId="27" borderId="48" xfId="32" applyAlignment="1">
      <alignment horizontal="center"/>
    </xf>
    <xf numFmtId="165" fontId="44" fillId="27" borderId="48" xfId="32" applyAlignment="1">
      <alignment wrapText="1"/>
    </xf>
    <xf numFmtId="165" fontId="44" fillId="27" borderId="48" xfId="32" applyAlignment="1">
      <alignment horizontal="center" wrapText="1"/>
    </xf>
    <xf numFmtId="0" fontId="44" fillId="27" borderId="48" xfId="32" applyNumberFormat="1" applyAlignment="1">
      <alignment horizontal="center"/>
    </xf>
    <xf numFmtId="167" fontId="44" fillId="27" borderId="48" xfId="32" applyNumberFormat="1"/>
    <xf numFmtId="0" fontId="45" fillId="33" borderId="53" xfId="32" applyNumberFormat="1" applyFont="1" applyFill="1" applyBorder="1" applyAlignment="1">
      <alignment horizontal="center"/>
    </xf>
    <xf numFmtId="0" fontId="44" fillId="33" borderId="53" xfId="32" applyNumberFormat="1" applyFont="1" applyFill="1" applyBorder="1" applyAlignment="1">
      <alignment horizontal="center"/>
    </xf>
    <xf numFmtId="165" fontId="44" fillId="33" borderId="49" xfId="32" applyFont="1" applyFill="1" applyBorder="1" applyAlignment="1">
      <alignment vertical="center" wrapText="1"/>
    </xf>
    <xf numFmtId="165" fontId="44" fillId="27" borderId="50" xfId="24" applyFont="1" applyBorder="1" applyAlignment="1">
      <alignment horizontal="center" wrapText="1"/>
    </xf>
    <xf numFmtId="165" fontId="41" fillId="33" borderId="49" xfId="26" applyNumberFormat="1" applyFont="1" applyFill="1" applyBorder="1"/>
    <xf numFmtId="164" fontId="49" fillId="27" borderId="48" xfId="26" applyFont="1"/>
    <xf numFmtId="165" fontId="44" fillId="27" borderId="50" xfId="32" applyFont="1" applyBorder="1" applyAlignment="1">
      <alignment horizontal="center" wrapText="1"/>
    </xf>
    <xf numFmtId="165" fontId="48" fillId="30" borderId="52" xfId="32" applyFont="1" applyFill="1" applyBorder="1" applyAlignment="1">
      <alignment wrapText="1"/>
    </xf>
    <xf numFmtId="164" fontId="49" fillId="30" borderId="52" xfId="26" applyFont="1" applyFill="1" applyBorder="1"/>
    <xf numFmtId="165" fontId="48" fillId="30" borderId="49" xfId="26" applyNumberFormat="1" applyFont="1" applyFill="1" applyBorder="1"/>
    <xf numFmtId="10" fontId="48" fillId="30" borderId="49" xfId="27" applyNumberFormat="1" applyFont="1" applyFill="1" applyBorder="1" applyAlignment="1">
      <alignment horizontal="center"/>
    </xf>
    <xf numFmtId="164" fontId="48" fillId="30" borderId="49" xfId="26" applyFont="1" applyFill="1" applyBorder="1"/>
    <xf numFmtId="164" fontId="48" fillId="27" borderId="54" xfId="26" applyFont="1" applyFill="1" applyBorder="1" applyAlignment="1">
      <alignment wrapText="1"/>
    </xf>
    <xf numFmtId="164" fontId="49" fillId="27" borderId="53" xfId="26" applyFont="1" applyFill="1" applyBorder="1" applyAlignment="1">
      <alignment horizontal="center"/>
    </xf>
    <xf numFmtId="165" fontId="49" fillId="27" borderId="49" xfId="26" applyNumberFormat="1" applyFont="1" applyFill="1" applyBorder="1"/>
    <xf numFmtId="9" fontId="49" fillId="27" borderId="49" xfId="27" applyFont="1" applyFill="1" applyBorder="1" applyAlignment="1">
      <alignment horizontal="center"/>
    </xf>
    <xf numFmtId="164" fontId="49" fillId="27" borderId="49" xfId="26" applyFont="1" applyFill="1" applyBorder="1"/>
    <xf numFmtId="165" fontId="50" fillId="27" borderId="48" xfId="32" applyFont="1"/>
    <xf numFmtId="2" fontId="44" fillId="27" borderId="49" xfId="32" applyNumberFormat="1" applyFont="1" applyBorder="1" applyAlignment="1">
      <alignment wrapText="1"/>
    </xf>
    <xf numFmtId="165" fontId="44" fillId="27" borderId="61" xfId="32" applyFont="1" applyBorder="1" applyAlignment="1">
      <alignment wrapText="1"/>
    </xf>
    <xf numFmtId="165" fontId="45" fillId="27" borderId="49" xfId="32" applyFont="1" applyBorder="1" applyAlignment="1">
      <alignment wrapText="1"/>
    </xf>
    <xf numFmtId="49" fontId="44" fillId="27" borderId="49" xfId="32" applyNumberFormat="1" applyBorder="1" applyAlignment="1">
      <alignment horizontal="center"/>
    </xf>
    <xf numFmtId="165" fontId="44" fillId="33" borderId="53" xfId="32" applyFill="1" applyBorder="1" applyAlignment="1">
      <alignment horizontal="center"/>
    </xf>
    <xf numFmtId="49" fontId="44" fillId="27" borderId="49" xfId="32" applyNumberFormat="1" applyBorder="1"/>
    <xf numFmtId="49" fontId="44" fillId="27" borderId="49" xfId="32" applyNumberFormat="1" applyFont="1" applyBorder="1" applyAlignment="1">
      <alignment horizontal="center"/>
    </xf>
    <xf numFmtId="165" fontId="44" fillId="33" borderId="49" xfId="26" applyNumberFormat="1" applyFont="1" applyFill="1" applyBorder="1"/>
    <xf numFmtId="165" fontId="45" fillId="27" borderId="54" xfId="32" applyFont="1" applyBorder="1" applyAlignment="1">
      <alignment wrapText="1"/>
    </xf>
    <xf numFmtId="0" fontId="45" fillId="27" borderId="49" xfId="32" applyNumberFormat="1" applyFont="1" applyBorder="1" applyAlignment="1">
      <alignment horizontal="center"/>
    </xf>
    <xf numFmtId="165" fontId="44" fillId="33" borderId="49" xfId="32" applyFont="1" applyFill="1" applyBorder="1" applyAlignment="1">
      <alignment horizontal="left" wrapText="1"/>
    </xf>
    <xf numFmtId="165" fontId="44" fillId="33" borderId="49" xfId="32" applyFont="1" applyFill="1" applyBorder="1" applyAlignment="1">
      <alignment horizontal="center" wrapText="1"/>
    </xf>
    <xf numFmtId="0" fontId="44" fillId="33" borderId="49" xfId="32" applyNumberFormat="1" applyFill="1" applyBorder="1" applyAlignment="1">
      <alignment horizontal="center"/>
    </xf>
    <xf numFmtId="165" fontId="44" fillId="33" borderId="54" xfId="32" applyFont="1" applyFill="1" applyBorder="1" applyAlignment="1">
      <alignment horizontal="left" wrapText="1"/>
    </xf>
    <xf numFmtId="165" fontId="44" fillId="27" borderId="49" xfId="26" applyNumberFormat="1" applyFont="1" applyBorder="1"/>
    <xf numFmtId="165" fontId="45" fillId="27" borderId="48" xfId="32" applyFont="1" applyAlignment="1">
      <alignment wrapText="1"/>
    </xf>
    <xf numFmtId="165" fontId="45" fillId="33" borderId="49" xfId="26" applyNumberFormat="1" applyFont="1" applyFill="1" applyBorder="1"/>
    <xf numFmtId="49" fontId="44" fillId="33" borderId="49" xfId="32" applyNumberFormat="1" applyFill="1" applyBorder="1" applyAlignment="1">
      <alignment horizontal="center"/>
    </xf>
    <xf numFmtId="49" fontId="44" fillId="27" borderId="49" xfId="32" applyNumberFormat="1" applyBorder="1" applyAlignment="1">
      <alignment horizontal="center" vertical="center"/>
    </xf>
    <xf numFmtId="165" fontId="44" fillId="27" borderId="49" xfId="32" applyFont="1" applyBorder="1" applyAlignment="1">
      <alignment horizontal="center" vertical="center" wrapText="1"/>
    </xf>
    <xf numFmtId="165" fontId="44" fillId="27" borderId="54" xfId="32" applyFont="1" applyBorder="1" applyAlignment="1">
      <alignment wrapText="1"/>
    </xf>
    <xf numFmtId="165" fontId="45" fillId="27" borderId="53" xfId="32" applyFont="1" applyBorder="1" applyAlignment="1">
      <alignment wrapText="1"/>
    </xf>
    <xf numFmtId="165" fontId="44" fillId="27" borderId="53" xfId="32" applyFont="1" applyBorder="1" applyAlignment="1">
      <alignment wrapText="1"/>
    </xf>
    <xf numFmtId="49" fontId="44" fillId="27" borderId="49" xfId="32" applyNumberFormat="1" applyFont="1" applyBorder="1"/>
    <xf numFmtId="165" fontId="45" fillId="33" borderId="49" xfId="32" applyFont="1" applyFill="1" applyBorder="1" applyAlignment="1">
      <alignment wrapText="1"/>
    </xf>
    <xf numFmtId="0" fontId="45" fillId="33" borderId="49" xfId="32" applyNumberFormat="1" applyFont="1" applyFill="1" applyBorder="1" applyAlignment="1">
      <alignment horizontal="center" wrapText="1"/>
    </xf>
    <xf numFmtId="0" fontId="45" fillId="27" borderId="49" xfId="32" applyNumberFormat="1" applyFont="1" applyBorder="1" applyAlignment="1">
      <alignment horizontal="center" wrapText="1"/>
    </xf>
    <xf numFmtId="165" fontId="44" fillId="27" borderId="49" xfId="32" applyBorder="1" applyAlignment="1">
      <alignment wrapText="1"/>
    </xf>
    <xf numFmtId="165" fontId="44" fillId="27" borderId="49" xfId="32" applyBorder="1" applyAlignment="1">
      <alignment horizontal="center" wrapText="1"/>
    </xf>
    <xf numFmtId="165" fontId="44" fillId="27" borderId="49" xfId="32" applyNumberFormat="1" applyBorder="1"/>
    <xf numFmtId="165" fontId="45" fillId="27" borderId="49" xfId="32" applyFont="1" applyBorder="1" applyAlignment="1">
      <alignment horizontal="left" wrapText="1"/>
    </xf>
    <xf numFmtId="164" fontId="45" fillId="27" borderId="48" xfId="26" applyFont="1"/>
    <xf numFmtId="9" fontId="45" fillId="29" borderId="49" xfId="27" applyFont="1" applyFill="1" applyBorder="1" applyAlignment="1">
      <alignment horizontal="center"/>
    </xf>
    <xf numFmtId="165" fontId="44" fillId="27" borderId="53" xfId="32" applyFont="1" applyBorder="1" applyAlignment="1">
      <alignment horizontal="left"/>
    </xf>
    <xf numFmtId="165" fontId="44" fillId="33" borderId="49" xfId="32" applyFill="1" applyBorder="1" applyAlignment="1">
      <alignment horizontal="center"/>
    </xf>
    <xf numFmtId="0" fontId="41" fillId="27" borderId="48" xfId="24" applyNumberFormat="1"/>
    <xf numFmtId="165" fontId="41" fillId="27" borderId="49" xfId="24" applyBorder="1" applyAlignment="1">
      <alignment horizontal="center"/>
    </xf>
    <xf numFmtId="0" fontId="44" fillId="27" borderId="49" xfId="24" applyNumberFormat="1" applyFont="1" applyFill="1" applyBorder="1" applyAlignment="1">
      <alignment horizontal="center"/>
    </xf>
    <xf numFmtId="0" fontId="45" fillId="32" borderId="49" xfId="24" applyNumberFormat="1" applyFont="1" applyFill="1" applyBorder="1" applyAlignment="1">
      <alignment horizontal="center"/>
    </xf>
    <xf numFmtId="165" fontId="45" fillId="32" borderId="49" xfId="24" applyFont="1" applyFill="1" applyBorder="1" applyAlignment="1">
      <alignment horizontal="center"/>
    </xf>
    <xf numFmtId="168" fontId="45" fillId="32" borderId="49" xfId="24" applyNumberFormat="1" applyFont="1" applyFill="1" applyBorder="1" applyAlignment="1">
      <alignment horizontal="center"/>
    </xf>
    <xf numFmtId="165" fontId="45" fillId="32" borderId="49" xfId="24" applyFont="1" applyFill="1" applyBorder="1" applyAlignment="1">
      <alignment horizontal="center" wrapText="1"/>
    </xf>
    <xf numFmtId="0" fontId="45" fillId="36" borderId="49" xfId="24" applyNumberFormat="1" applyFont="1" applyFill="1" applyBorder="1" applyAlignment="1">
      <alignment horizontal="center"/>
    </xf>
    <xf numFmtId="165" fontId="45" fillId="36" borderId="49" xfId="24" applyFont="1" applyFill="1" applyBorder="1" applyAlignment="1">
      <alignment horizontal="left"/>
    </xf>
    <xf numFmtId="165" fontId="41" fillId="36" borderId="49" xfId="24" applyFill="1" applyBorder="1" applyAlignment="1">
      <alignment horizontal="center"/>
    </xf>
    <xf numFmtId="164" fontId="41" fillId="36" borderId="49" xfId="26" applyFont="1" applyFill="1" applyBorder="1"/>
    <xf numFmtId="168" fontId="45" fillId="36" borderId="49" xfId="26" applyNumberFormat="1" applyFont="1" applyFill="1" applyBorder="1"/>
    <xf numFmtId="164" fontId="51" fillId="37" borderId="49" xfId="26" applyFont="1" applyFill="1" applyBorder="1" applyAlignment="1">
      <alignment horizontal="right"/>
    </xf>
    <xf numFmtId="165" fontId="52" fillId="27" borderId="49" xfId="24" applyFont="1" applyBorder="1" applyAlignment="1">
      <alignment horizontal="right"/>
    </xf>
    <xf numFmtId="9" fontId="41" fillId="27" borderId="49" xfId="27" applyFont="1" applyBorder="1" applyAlignment="1">
      <alignment horizontal="center"/>
    </xf>
    <xf numFmtId="164" fontId="41" fillId="27" borderId="49" xfId="26" applyFont="1" applyBorder="1"/>
    <xf numFmtId="168" fontId="52" fillId="27" borderId="49" xfId="26" applyNumberFormat="1" applyFont="1" applyBorder="1" applyAlignment="1">
      <alignment horizontal="right"/>
    </xf>
    <xf numFmtId="164" fontId="52" fillId="27" borderId="49" xfId="26" applyFont="1" applyBorder="1" applyAlignment="1">
      <alignment horizontal="right"/>
    </xf>
    <xf numFmtId="165" fontId="44" fillId="27" borderId="49" xfId="24" applyFont="1" applyBorder="1" applyAlignment="1">
      <alignment horizontal="left"/>
    </xf>
    <xf numFmtId="10" fontId="41" fillId="27" borderId="49" xfId="27" applyNumberFormat="1" applyFont="1" applyBorder="1" applyAlignment="1">
      <alignment horizontal="center"/>
    </xf>
    <xf numFmtId="168" fontId="44" fillId="27" borderId="49" xfId="26" applyNumberFormat="1" applyFont="1" applyBorder="1" applyAlignment="1">
      <alignment horizontal="right"/>
    </xf>
    <xf numFmtId="164" fontId="44" fillId="27" borderId="49" xfId="26" applyFont="1" applyBorder="1" applyAlignment="1">
      <alignment horizontal="right" wrapText="1"/>
    </xf>
    <xf numFmtId="0" fontId="45" fillId="29" borderId="49" xfId="24" applyNumberFormat="1" applyFont="1" applyFill="1" applyBorder="1" applyAlignment="1">
      <alignment horizontal="center"/>
    </xf>
    <xf numFmtId="165" fontId="45" fillId="29" borderId="49" xfId="24" applyFont="1" applyFill="1" applyBorder="1"/>
    <xf numFmtId="10" fontId="41" fillId="29" borderId="49" xfId="27" applyNumberFormat="1" applyFont="1" applyFill="1" applyBorder="1" applyAlignment="1">
      <alignment horizontal="center"/>
    </xf>
    <xf numFmtId="10" fontId="45" fillId="29" borderId="49" xfId="27" applyNumberFormat="1" applyFont="1" applyFill="1" applyBorder="1" applyAlignment="1">
      <alignment horizontal="center"/>
    </xf>
    <xf numFmtId="168" fontId="45" fillId="29" borderId="49" xfId="26" applyNumberFormat="1" applyFont="1" applyFill="1" applyBorder="1"/>
    <xf numFmtId="164" fontId="45" fillId="29" borderId="49" xfId="24" applyNumberFormat="1" applyFont="1" applyFill="1" applyBorder="1" applyAlignment="1">
      <alignment wrapText="1"/>
    </xf>
    <xf numFmtId="10" fontId="41" fillId="27" borderId="49" xfId="27" applyNumberFormat="1" applyFont="1" applyBorder="1"/>
    <xf numFmtId="168" fontId="44" fillId="33" borderId="49" xfId="26" applyNumberFormat="1" applyFont="1" applyFill="1" applyBorder="1" applyAlignment="1">
      <alignment horizontal="right"/>
    </xf>
    <xf numFmtId="164" fontId="41" fillId="27" borderId="49" xfId="26" applyFont="1" applyBorder="1" applyAlignment="1">
      <alignment wrapText="1"/>
    </xf>
    <xf numFmtId="0" fontId="45" fillId="38" borderId="49" xfId="24" applyNumberFormat="1" applyFont="1" applyFill="1" applyBorder="1" applyAlignment="1">
      <alignment horizontal="center"/>
    </xf>
    <xf numFmtId="165" fontId="45" fillId="38" borderId="49" xfId="24" applyFont="1" applyFill="1" applyBorder="1"/>
    <xf numFmtId="9" fontId="45" fillId="38" borderId="49" xfId="27" applyFont="1" applyFill="1" applyBorder="1" applyAlignment="1">
      <alignment horizontal="center"/>
    </xf>
    <xf numFmtId="169" fontId="45" fillId="38" borderId="49" xfId="27" applyNumberFormat="1" applyFont="1" applyFill="1" applyBorder="1" applyAlignment="1">
      <alignment horizontal="center"/>
    </xf>
    <xf numFmtId="168" fontId="45" fillId="38" borderId="49" xfId="26" applyNumberFormat="1" applyFont="1" applyFill="1" applyBorder="1"/>
    <xf numFmtId="164" fontId="45" fillId="38" borderId="49" xfId="24" applyNumberFormat="1" applyFont="1" applyFill="1" applyBorder="1" applyAlignment="1">
      <alignment wrapText="1"/>
    </xf>
    <xf numFmtId="10" fontId="45" fillId="27" borderId="49" xfId="27" applyNumberFormat="1" applyFont="1" applyBorder="1"/>
    <xf numFmtId="168" fontId="45" fillId="27" borderId="49" xfId="26" applyNumberFormat="1" applyFont="1" applyBorder="1"/>
    <xf numFmtId="165" fontId="44" fillId="27" borderId="49" xfId="24" applyFont="1" applyBorder="1" applyAlignment="1">
      <alignment horizontal="right"/>
    </xf>
    <xf numFmtId="164" fontId="41" fillId="27" borderId="49" xfId="24" applyNumberFormat="1" applyBorder="1"/>
    <xf numFmtId="168" fontId="41" fillId="27" borderId="49" xfId="26" applyNumberFormat="1" applyFont="1" applyBorder="1"/>
    <xf numFmtId="168" fontId="45" fillId="38" borderId="49" xfId="24" applyNumberFormat="1" applyFont="1" applyFill="1" applyBorder="1"/>
    <xf numFmtId="168" fontId="41" fillId="27" borderId="49" xfId="24" applyNumberFormat="1" applyBorder="1"/>
    <xf numFmtId="165" fontId="41" fillId="27" borderId="49" xfId="24" applyBorder="1" applyAlignment="1">
      <alignment horizontal="right"/>
    </xf>
    <xf numFmtId="168" fontId="41" fillId="27" borderId="48" xfId="24" applyNumberFormat="1"/>
    <xf numFmtId="165" fontId="41" fillId="27" borderId="48" xfId="24" applyAlignment="1">
      <alignment wrapText="1"/>
    </xf>
    <xf numFmtId="0" fontId="44" fillId="35" borderId="49" xfId="32" applyNumberFormat="1" applyFont="1" applyFill="1" applyBorder="1" applyAlignment="1">
      <alignment horizontal="center"/>
    </xf>
    <xf numFmtId="165" fontId="44" fillId="35" borderId="50" xfId="32" applyFont="1" applyFill="1" applyBorder="1" applyAlignment="1">
      <alignment wrapText="1"/>
    </xf>
    <xf numFmtId="49" fontId="44" fillId="27" borderId="49" xfId="24" applyNumberFormat="1" applyFont="1" applyBorder="1" applyAlignment="1">
      <alignment horizontal="center"/>
    </xf>
    <xf numFmtId="165" fontId="44" fillId="33" borderId="49" xfId="24" applyFont="1" applyFill="1" applyBorder="1" applyAlignment="1">
      <alignment wrapText="1"/>
    </xf>
    <xf numFmtId="0" fontId="44" fillId="35" borderId="53" xfId="32" applyNumberFormat="1" applyFont="1" applyFill="1" applyBorder="1" applyAlignment="1">
      <alignment horizontal="center"/>
    </xf>
    <xf numFmtId="0" fontId="45" fillId="35" borderId="53" xfId="32" applyNumberFormat="1" applyFont="1" applyFill="1" applyBorder="1" applyAlignment="1">
      <alignment horizontal="center"/>
    </xf>
    <xf numFmtId="49" fontId="41" fillId="27" borderId="48" xfId="24" applyNumberFormat="1"/>
    <xf numFmtId="0" fontId="44" fillId="33" borderId="53" xfId="32" applyNumberFormat="1" applyFont="1" applyFill="1" applyBorder="1" applyAlignment="1">
      <alignment horizontal="center" vertical="center"/>
    </xf>
    <xf numFmtId="165" fontId="44" fillId="27" borderId="53" xfId="32" applyBorder="1" applyAlignment="1">
      <alignment horizontal="center" vertical="center"/>
    </xf>
    <xf numFmtId="165" fontId="44" fillId="27" borderId="49" xfId="32" applyFont="1" applyBorder="1" applyAlignment="1">
      <alignment vertical="center" wrapText="1"/>
    </xf>
    <xf numFmtId="165" fontId="44" fillId="27" borderId="49" xfId="32" applyBorder="1" applyAlignment="1">
      <alignment horizontal="center" vertical="center"/>
    </xf>
    <xf numFmtId="165" fontId="44" fillId="27" borderId="50" xfId="32" applyFont="1" applyBorder="1" applyAlignment="1">
      <alignment horizontal="center" vertical="center" wrapText="1"/>
    </xf>
    <xf numFmtId="165" fontId="41" fillId="27" borderId="49" xfId="26" applyNumberFormat="1" applyFont="1" applyBorder="1" applyAlignment="1">
      <alignment vertical="center"/>
    </xf>
    <xf numFmtId="9" fontId="41" fillId="29" borderId="49" xfId="27" applyFont="1" applyFill="1" applyBorder="1" applyAlignment="1">
      <alignment horizontal="center" vertical="center"/>
    </xf>
    <xf numFmtId="165" fontId="41" fillId="33" borderId="49" xfId="26" applyNumberFormat="1" applyFont="1" applyFill="1" applyBorder="1" applyAlignment="1">
      <alignment vertical="center"/>
    </xf>
    <xf numFmtId="165" fontId="44" fillId="27" borderId="48" xfId="32" applyAlignment="1">
      <alignment vertical="center"/>
    </xf>
    <xf numFmtId="0" fontId="44" fillId="35" borderId="53" xfId="32" applyNumberFormat="1" applyFont="1" applyFill="1" applyBorder="1" applyAlignment="1">
      <alignment horizontal="center" vertical="center"/>
    </xf>
    <xf numFmtId="165" fontId="44" fillId="33" borderId="53" xfId="32" applyFill="1" applyBorder="1" applyAlignment="1">
      <alignment horizontal="center" vertical="center"/>
    </xf>
    <xf numFmtId="0" fontId="44" fillId="33" borderId="49" xfId="32" applyNumberFormat="1" applyFont="1" applyFill="1" applyBorder="1" applyAlignment="1">
      <alignment horizontal="center" vertical="center"/>
    </xf>
    <xf numFmtId="0" fontId="45" fillId="33" borderId="53" xfId="32" applyNumberFormat="1" applyFont="1" applyFill="1" applyBorder="1" applyAlignment="1">
      <alignment horizontal="center" vertical="center"/>
    </xf>
    <xf numFmtId="165" fontId="45" fillId="27" borderId="53" xfId="32" applyFont="1" applyBorder="1" applyAlignment="1">
      <alignment horizontal="center" vertical="center"/>
    </xf>
    <xf numFmtId="49" fontId="44" fillId="27" borderId="49" xfId="32" applyNumberFormat="1" applyBorder="1" applyAlignment="1">
      <alignment vertical="center"/>
    </xf>
    <xf numFmtId="0" fontId="44" fillId="27" borderId="49" xfId="32" applyNumberFormat="1" applyBorder="1" applyAlignment="1">
      <alignment horizontal="center" vertical="center"/>
    </xf>
    <xf numFmtId="164" fontId="41" fillId="27" borderId="48" xfId="26" applyFont="1" applyAlignment="1">
      <alignment vertical="center"/>
    </xf>
    <xf numFmtId="0" fontId="53" fillId="27" borderId="48" xfId="28" applyFont="1"/>
    <xf numFmtId="164" fontId="53" fillId="27" borderId="48" xfId="26" applyFont="1"/>
    <xf numFmtId="0" fontId="53" fillId="27" borderId="48" xfId="28" applyFont="1" applyAlignment="1">
      <alignment horizontal="center" vertical="center"/>
    </xf>
    <xf numFmtId="168" fontId="53" fillId="27" borderId="48" xfId="28" applyNumberFormat="1" applyFont="1"/>
    <xf numFmtId="9" fontId="41" fillId="27" borderId="49" xfId="27" applyFont="1" applyBorder="1"/>
    <xf numFmtId="10" fontId="41" fillId="27" borderId="49" xfId="27" applyNumberFormat="1" applyFont="1" applyBorder="1" applyAlignment="1">
      <alignment horizontal="center" vertical="center"/>
    </xf>
    <xf numFmtId="10" fontId="41" fillId="27" borderId="48" xfId="27" applyNumberFormat="1" applyFont="1"/>
    <xf numFmtId="165" fontId="44" fillId="27" borderId="48" xfId="24" applyFont="1"/>
    <xf numFmtId="164" fontId="41" fillId="27" borderId="49" xfId="26" applyFont="1" applyBorder="1" applyAlignment="1">
      <alignment vertical="center" wrapText="1"/>
    </xf>
    <xf numFmtId="0" fontId="54" fillId="27" borderId="49" xfId="28" applyFont="1" applyBorder="1" applyAlignment="1">
      <alignment horizontal="center" vertical="center"/>
    </xf>
    <xf numFmtId="0" fontId="53" fillId="27" borderId="48" xfId="26" applyNumberFormat="1" applyFont="1" applyAlignment="1">
      <alignment horizontal="center" vertical="center"/>
    </xf>
    <xf numFmtId="0" fontId="54" fillId="27" borderId="49" xfId="28" applyNumberFormat="1" applyFont="1" applyBorder="1" applyAlignment="1">
      <alignment horizontal="center" vertical="center"/>
    </xf>
    <xf numFmtId="0" fontId="53" fillId="27" borderId="49" xfId="28" applyFont="1" applyBorder="1" applyAlignment="1">
      <alignment horizontal="center" vertical="center"/>
    </xf>
    <xf numFmtId="0" fontId="53" fillId="27" borderId="49" xfId="28" applyFont="1" applyBorder="1" applyAlignment="1">
      <alignment horizontal="left" vertical="center"/>
    </xf>
    <xf numFmtId="0" fontId="53" fillId="27" borderId="49" xfId="26" applyNumberFormat="1" applyFont="1" applyBorder="1" applyAlignment="1">
      <alignment horizontal="center" vertical="center"/>
    </xf>
    <xf numFmtId="0" fontId="54" fillId="27" borderId="49" xfId="28" applyFont="1" applyBorder="1" applyAlignment="1">
      <alignment horizontal="center" vertical="center" wrapText="1"/>
    </xf>
    <xf numFmtId="164" fontId="53" fillId="27" borderId="49" xfId="26" applyFont="1" applyBorder="1"/>
    <xf numFmtId="165" fontId="54" fillId="27" borderId="49" xfId="24" applyFont="1" applyBorder="1" applyAlignment="1">
      <alignment horizontal="center" vertical="center"/>
    </xf>
    <xf numFmtId="0" fontId="54" fillId="27" borderId="49" xfId="24" applyNumberFormat="1" applyFont="1" applyBorder="1" applyAlignment="1">
      <alignment horizontal="center" vertical="center"/>
    </xf>
    <xf numFmtId="165" fontId="53" fillId="27" borderId="49" xfId="24" applyFont="1" applyBorder="1" applyAlignment="1">
      <alignment horizontal="left" vertical="center"/>
    </xf>
    <xf numFmtId="165" fontId="53" fillId="27" borderId="49" xfId="24" applyFont="1" applyBorder="1" applyAlignment="1">
      <alignment horizontal="center" vertical="center"/>
    </xf>
    <xf numFmtId="0" fontId="53" fillId="27" borderId="49" xfId="24" applyNumberFormat="1" applyFont="1" applyBorder="1" applyAlignment="1">
      <alignment horizontal="center" vertical="center"/>
    </xf>
    <xf numFmtId="0" fontId="44" fillId="33" borderId="49" xfId="32" applyNumberFormat="1" applyFont="1" applyFill="1" applyBorder="1" applyAlignment="1">
      <alignment wrapText="1"/>
    </xf>
    <xf numFmtId="165" fontId="41" fillId="30" borderId="49" xfId="24" applyFill="1" applyBorder="1"/>
    <xf numFmtId="10" fontId="41" fillId="27" borderId="61" xfId="27" applyNumberFormat="1" applyFont="1" applyBorder="1" applyAlignment="1">
      <alignment horizontal="center" vertical="center"/>
    </xf>
    <xf numFmtId="10" fontId="41" fillId="27" borderId="62" xfId="27" applyNumberFormat="1" applyFont="1" applyBorder="1" applyAlignment="1">
      <alignment horizontal="center" vertical="center"/>
    </xf>
    <xf numFmtId="10" fontId="41" fillId="27" borderId="53" xfId="27" applyNumberFormat="1" applyFont="1" applyBorder="1" applyAlignment="1">
      <alignment horizontal="center" vertical="center"/>
    </xf>
    <xf numFmtId="164" fontId="41" fillId="27" borderId="61" xfId="26" applyFont="1" applyBorder="1" applyAlignment="1">
      <alignment horizontal="center" vertical="center" wrapText="1"/>
    </xf>
    <xf numFmtId="164" fontId="41" fillId="27" borderId="62" xfId="26" applyFont="1" applyBorder="1" applyAlignment="1">
      <alignment horizontal="center" vertical="center" wrapText="1"/>
    </xf>
    <xf numFmtId="164" fontId="41" fillId="27" borderId="53" xfId="26" applyFont="1" applyBorder="1" applyAlignment="1">
      <alignment horizontal="center" vertical="center" wrapText="1"/>
    </xf>
    <xf numFmtId="165" fontId="54" fillId="27" borderId="49" xfId="24" applyFont="1" applyBorder="1" applyAlignment="1">
      <alignment horizontal="center" vertical="center"/>
    </xf>
    <xf numFmtId="165" fontId="54" fillId="27" borderId="50" xfId="24" applyFont="1" applyBorder="1" applyAlignment="1">
      <alignment horizontal="center" vertical="center"/>
    </xf>
    <xf numFmtId="165" fontId="54" fillId="27" borderId="63" xfId="24" applyFont="1" applyBorder="1" applyAlignment="1">
      <alignment horizontal="center" vertical="center"/>
    </xf>
    <xf numFmtId="165" fontId="54" fillId="27" borderId="55" xfId="24" applyFont="1" applyBorder="1" applyAlignment="1">
      <alignment horizontal="center" vertical="center"/>
    </xf>
    <xf numFmtId="10" fontId="49" fillId="27" borderId="56" xfId="27" applyNumberFormat="1" applyFont="1" applyFill="1" applyBorder="1" applyAlignment="1">
      <alignment horizontal="center" vertical="center" wrapText="1"/>
    </xf>
    <xf numFmtId="10" fontId="41" fillId="27" borderId="57" xfId="27" applyNumberFormat="1" applyFont="1" applyBorder="1" applyAlignment="1">
      <alignment horizontal="center" vertical="center"/>
    </xf>
    <xf numFmtId="10" fontId="41" fillId="27" borderId="58" xfId="27" applyNumberFormat="1" applyFont="1" applyBorder="1" applyAlignment="1">
      <alignment horizontal="center" vertical="center"/>
    </xf>
    <xf numFmtId="10" fontId="41" fillId="27" borderId="59" xfId="27" applyNumberFormat="1" applyFont="1" applyBorder="1" applyAlignment="1">
      <alignment horizontal="center" vertical="center"/>
    </xf>
    <xf numFmtId="10" fontId="41" fillId="27" borderId="54" xfId="27" applyNumberFormat="1" applyFont="1" applyBorder="1" applyAlignment="1">
      <alignment horizontal="center" vertical="center"/>
    </xf>
    <xf numFmtId="10" fontId="41" fillId="27" borderId="60" xfId="27" applyNumberFormat="1" applyFont="1" applyBorder="1" applyAlignment="1">
      <alignment horizontal="center" vertical="center"/>
    </xf>
    <xf numFmtId="10" fontId="49" fillId="27" borderId="50" xfId="27" applyNumberFormat="1" applyFont="1" applyFill="1" applyBorder="1" applyAlignment="1">
      <alignment horizontal="center" vertical="center"/>
    </xf>
    <xf numFmtId="10" fontId="41" fillId="27" borderId="55" xfId="27" applyNumberFormat="1" applyFont="1" applyBorder="1" applyAlignment="1">
      <alignment horizontal="center" vertical="center"/>
    </xf>
    <xf numFmtId="165" fontId="55" fillId="39" borderId="64" xfId="36"/>
    <xf numFmtId="165" fontId="55" fillId="39" borderId="64" xfId="36" applyAlignment="1">
      <alignment horizontal="center"/>
    </xf>
    <xf numFmtId="165" fontId="55" fillId="39" borderId="65" xfId="36" applyBorder="1"/>
    <xf numFmtId="165" fontId="59" fillId="39" borderId="65" xfId="36" applyFont="1" applyBorder="1"/>
    <xf numFmtId="165" fontId="58" fillId="39" borderId="65" xfId="36" applyFont="1" applyBorder="1" applyAlignment="1">
      <alignment wrapText="1"/>
    </xf>
    <xf numFmtId="0" fontId="55" fillId="39" borderId="65" xfId="36" applyNumberFormat="1" applyBorder="1" applyAlignment="1">
      <alignment horizontal="center"/>
    </xf>
    <xf numFmtId="0" fontId="55" fillId="39" borderId="64" xfId="36" applyNumberFormat="1" applyAlignment="1">
      <alignment horizontal="center"/>
    </xf>
    <xf numFmtId="0" fontId="59" fillId="39" borderId="65" xfId="36" applyNumberFormat="1" applyFont="1" applyBorder="1" applyAlignment="1">
      <alignment horizontal="center"/>
    </xf>
    <xf numFmtId="165" fontId="58" fillId="39" borderId="65" xfId="36" applyFont="1" applyBorder="1"/>
    <xf numFmtId="165" fontId="55" fillId="39" borderId="65" xfId="36" applyBorder="1" applyAlignment="1">
      <alignment wrapText="1"/>
    </xf>
    <xf numFmtId="165" fontId="59" fillId="43" borderId="65" xfId="36" applyFont="1" applyFill="1" applyBorder="1" applyAlignment="1">
      <alignment wrapText="1"/>
    </xf>
    <xf numFmtId="165" fontId="59" fillId="43" borderId="65" xfId="36" applyFont="1" applyFill="1" applyBorder="1" applyAlignment="1">
      <alignment horizontal="center"/>
    </xf>
    <xf numFmtId="165" fontId="59" fillId="39" borderId="64" xfId="36" applyFont="1"/>
    <xf numFmtId="165" fontId="55" fillId="39" borderId="65" xfId="36" applyFont="1" applyFill="1" applyBorder="1" applyAlignment="1">
      <alignment wrapText="1"/>
    </xf>
    <xf numFmtId="165" fontId="59" fillId="43" borderId="65" xfId="36" applyFont="1" applyFill="1" applyBorder="1" applyAlignment="1">
      <alignment horizontal="center" wrapText="1"/>
    </xf>
    <xf numFmtId="165" fontId="58" fillId="39" borderId="65" xfId="36" applyFont="1" applyFill="1" applyBorder="1" applyAlignment="1">
      <alignment wrapText="1"/>
    </xf>
    <xf numFmtId="165" fontId="58" fillId="39" borderId="65" xfId="36" applyFont="1" applyBorder="1" applyAlignment="1">
      <alignment horizontal="center" vertical="center" wrapText="1"/>
    </xf>
    <xf numFmtId="165" fontId="58" fillId="39" borderId="65" xfId="36" applyFont="1" applyFill="1" applyBorder="1" applyAlignment="1">
      <alignment horizontal="center" vertical="center" wrapText="1"/>
    </xf>
    <xf numFmtId="0" fontId="58" fillId="39" borderId="65" xfId="44" applyNumberFormat="1" applyFont="1" applyFill="1" applyBorder="1" applyAlignment="1">
      <alignment horizontal="center"/>
    </xf>
    <xf numFmtId="165" fontId="55" fillId="44" borderId="65" xfId="36" applyFill="1" applyBorder="1" applyAlignment="1">
      <alignment horizontal="center"/>
    </xf>
    <xf numFmtId="164" fontId="55" fillId="44" borderId="65" xfId="38" applyFont="1" applyFill="1" applyBorder="1" applyAlignment="1">
      <alignment horizontal="center"/>
    </xf>
    <xf numFmtId="9" fontId="55" fillId="44" borderId="65" xfId="39" applyFont="1" applyFill="1" applyBorder="1" applyAlignment="1">
      <alignment horizontal="center"/>
    </xf>
    <xf numFmtId="0" fontId="55" fillId="44" borderId="65" xfId="36" applyNumberFormat="1" applyFill="1" applyBorder="1" applyAlignment="1">
      <alignment horizontal="center"/>
    </xf>
    <xf numFmtId="9" fontId="55" fillId="39" borderId="64" xfId="39" applyFont="1"/>
    <xf numFmtId="165" fontId="55" fillId="39" borderId="65" xfId="38" applyNumberFormat="1" applyFont="1" applyBorder="1"/>
    <xf numFmtId="9" fontId="55" fillId="41" borderId="65" xfId="39" applyFont="1" applyFill="1" applyBorder="1" applyAlignment="1">
      <alignment horizontal="center"/>
    </xf>
    <xf numFmtId="165" fontId="55" fillId="39" borderId="65" xfId="38" applyNumberFormat="1" applyFont="1" applyFill="1" applyBorder="1"/>
    <xf numFmtId="165" fontId="59" fillId="39" borderId="65" xfId="38" applyNumberFormat="1" applyFont="1" applyBorder="1"/>
    <xf numFmtId="165" fontId="58" fillId="39" borderId="65" xfId="44" applyFont="1" applyBorder="1" applyAlignment="1">
      <alignment horizontal="center" wrapText="1"/>
    </xf>
    <xf numFmtId="165" fontId="58" fillId="39" borderId="65" xfId="44" applyFont="1" applyBorder="1" applyAlignment="1">
      <alignment horizontal="center"/>
    </xf>
    <xf numFmtId="165" fontId="58" fillId="39" borderId="65" xfId="44" applyFont="1" applyBorder="1" applyAlignment="1">
      <alignment wrapText="1"/>
    </xf>
    <xf numFmtId="9" fontId="59" fillId="46" borderId="65" xfId="39" applyFont="1" applyFill="1" applyBorder="1" applyAlignment="1">
      <alignment horizontal="center"/>
    </xf>
    <xf numFmtId="9" fontId="63" fillId="39" borderId="69" xfId="39" applyFont="1" applyFill="1" applyBorder="1" applyAlignment="1">
      <alignment horizontal="center"/>
    </xf>
    <xf numFmtId="164" fontId="55" fillId="39" borderId="64" xfId="38" applyFont="1"/>
    <xf numFmtId="0" fontId="62" fillId="42" borderId="67" xfId="44" applyNumberFormat="1" applyFont="1" applyFill="1" applyBorder="1" applyAlignment="1">
      <alignment horizontal="center"/>
    </xf>
    <xf numFmtId="165" fontId="62" fillId="42" borderId="68" xfId="44" applyFont="1" applyFill="1" applyBorder="1" applyAlignment="1">
      <alignment horizontal="center"/>
    </xf>
    <xf numFmtId="165" fontId="63" fillId="42" borderId="68" xfId="44" applyFont="1" applyFill="1" applyBorder="1" applyAlignment="1">
      <alignment horizontal="left" wrapText="1"/>
    </xf>
    <xf numFmtId="165" fontId="63" fillId="42" borderId="68" xfId="44" applyFont="1" applyFill="1" applyBorder="1" applyAlignment="1">
      <alignment horizontal="center"/>
    </xf>
    <xf numFmtId="165" fontId="63" fillId="42" borderId="68" xfId="44" applyFont="1" applyFill="1" applyBorder="1" applyAlignment="1">
      <alignment horizontal="center" wrapText="1"/>
    </xf>
    <xf numFmtId="0" fontId="63" fillId="42" borderId="68" xfId="44" applyNumberFormat="1" applyFont="1" applyFill="1" applyBorder="1" applyAlignment="1">
      <alignment horizontal="center"/>
    </xf>
    <xf numFmtId="165" fontId="63" fillId="39" borderId="64" xfId="44" applyFont="1"/>
    <xf numFmtId="0" fontId="58" fillId="39" borderId="65" xfId="44" applyNumberFormat="1" applyFont="1" applyBorder="1" applyAlignment="1">
      <alignment horizontal="center" wrapText="1"/>
    </xf>
    <xf numFmtId="165" fontId="58" fillId="45" borderId="65" xfId="44" applyFont="1" applyFill="1" applyBorder="1" applyAlignment="1">
      <alignment wrapText="1"/>
    </xf>
    <xf numFmtId="165" fontId="63" fillId="39" borderId="69" xfId="44" applyFont="1" applyFill="1" applyBorder="1" applyAlignment="1">
      <alignment horizontal="left" wrapText="1"/>
    </xf>
    <xf numFmtId="165" fontId="63" fillId="39" borderId="69" xfId="44" applyFont="1" applyFill="1" applyBorder="1" applyAlignment="1">
      <alignment horizontal="center"/>
    </xf>
    <xf numFmtId="165" fontId="63" fillId="39" borderId="64" xfId="44" applyFont="1" applyFill="1"/>
    <xf numFmtId="0" fontId="59" fillId="46" borderId="65" xfId="44" applyNumberFormat="1" applyFont="1" applyFill="1" applyBorder="1" applyAlignment="1">
      <alignment horizontal="center"/>
    </xf>
    <xf numFmtId="165" fontId="59" fillId="46" borderId="65" xfId="44" applyFont="1" applyFill="1" applyBorder="1" applyAlignment="1">
      <alignment horizontal="center"/>
    </xf>
    <xf numFmtId="165" fontId="59" fillId="46" borderId="65" xfId="44" applyFont="1" applyFill="1" applyBorder="1" applyAlignment="1">
      <alignment horizontal="center" wrapText="1"/>
    </xf>
    <xf numFmtId="167" fontId="59" fillId="46" borderId="65" xfId="44" applyNumberFormat="1" applyFont="1" applyFill="1" applyBorder="1" applyAlignment="1">
      <alignment horizontal="center"/>
    </xf>
    <xf numFmtId="165" fontId="58" fillId="39" borderId="64" xfId="44"/>
    <xf numFmtId="165" fontId="59" fillId="39" borderId="69" xfId="44" applyFont="1" applyBorder="1" applyAlignment="1">
      <alignment horizontal="center"/>
    </xf>
    <xf numFmtId="165" fontId="58" fillId="39" borderId="65" xfId="44" applyFont="1" applyBorder="1" applyAlignment="1">
      <alignment horizontal="left" wrapText="1"/>
    </xf>
    <xf numFmtId="165" fontId="58" fillId="39" borderId="65" xfId="44" applyBorder="1" applyAlignment="1">
      <alignment horizontal="center"/>
    </xf>
    <xf numFmtId="0" fontId="58" fillId="39" borderId="65" xfId="44" applyNumberFormat="1" applyBorder="1" applyAlignment="1">
      <alignment horizontal="center"/>
    </xf>
    <xf numFmtId="165" fontId="58" fillId="39" borderId="65" xfId="44" applyFont="1" applyBorder="1" applyAlignment="1">
      <alignment horizontal="center" vertical="center"/>
    </xf>
    <xf numFmtId="0" fontId="58" fillId="45" borderId="65" xfId="44" applyNumberFormat="1" applyFont="1" applyFill="1" applyBorder="1" applyAlignment="1">
      <alignment horizontal="center"/>
    </xf>
    <xf numFmtId="165" fontId="58" fillId="39" borderId="64" xfId="44" applyNumberFormat="1"/>
    <xf numFmtId="165" fontId="58" fillId="39" borderId="65" xfId="44" applyFont="1" applyBorder="1"/>
    <xf numFmtId="165" fontId="58" fillId="39" borderId="69" xfId="44" applyBorder="1" applyAlignment="1">
      <alignment horizontal="center"/>
    </xf>
    <xf numFmtId="165" fontId="58" fillId="45" borderId="65" xfId="44" applyFont="1" applyFill="1" applyBorder="1" applyAlignment="1">
      <alignment horizontal="center"/>
    </xf>
    <xf numFmtId="165" fontId="59" fillId="45" borderId="69" xfId="44" applyFont="1" applyFill="1" applyBorder="1" applyAlignment="1">
      <alignment wrapText="1"/>
    </xf>
    <xf numFmtId="164" fontId="58" fillId="39" borderId="64" xfId="38"/>
    <xf numFmtId="165" fontId="58" fillId="39" borderId="66" xfId="44" applyFont="1" applyFill="1" applyBorder="1" applyAlignment="1">
      <alignment wrapText="1"/>
    </xf>
    <xf numFmtId="0" fontId="59" fillId="39" borderId="64" xfId="44" applyNumberFormat="1" applyFont="1" applyAlignment="1">
      <alignment horizontal="center"/>
    </xf>
    <xf numFmtId="165" fontId="58" fillId="39" borderId="64" xfId="44" applyAlignment="1">
      <alignment horizontal="center"/>
    </xf>
    <xf numFmtId="165" fontId="58" fillId="39" borderId="64" xfId="44" applyAlignment="1">
      <alignment wrapText="1"/>
    </xf>
    <xf numFmtId="165" fontId="58" fillId="39" borderId="64" xfId="44" applyAlignment="1">
      <alignment horizontal="center" wrapText="1"/>
    </xf>
    <xf numFmtId="0" fontId="58" fillId="39" borderId="64" xfId="44" applyNumberFormat="1" applyAlignment="1">
      <alignment horizontal="center"/>
    </xf>
    <xf numFmtId="167" fontId="58" fillId="39" borderId="64" xfId="44" applyNumberFormat="1"/>
    <xf numFmtId="0" fontId="59" fillId="45" borderId="69" xfId="44" applyNumberFormat="1" applyFont="1" applyFill="1" applyBorder="1" applyAlignment="1">
      <alignment horizontal="center"/>
    </xf>
    <xf numFmtId="0" fontId="58" fillId="45" borderId="69" xfId="44" applyNumberFormat="1" applyFont="1" applyFill="1" applyBorder="1" applyAlignment="1">
      <alignment horizontal="center"/>
    </xf>
    <xf numFmtId="165" fontId="58" fillId="45" borderId="65" xfId="44" applyFont="1" applyFill="1" applyBorder="1" applyAlignment="1">
      <alignment vertical="center" wrapText="1"/>
    </xf>
    <xf numFmtId="165" fontId="58" fillId="39" borderId="66" xfId="36" applyFont="1" applyBorder="1" applyAlignment="1">
      <alignment horizontal="center" wrapText="1"/>
    </xf>
    <xf numFmtId="165" fontId="55" fillId="45" borderId="65" xfId="38" applyNumberFormat="1" applyFont="1" applyFill="1" applyBorder="1"/>
    <xf numFmtId="164" fontId="63" fillId="39" borderId="64" xfId="38" applyFont="1"/>
    <xf numFmtId="165" fontId="58" fillId="39" borderId="66" xfId="44" applyFont="1" applyBorder="1" applyAlignment="1">
      <alignment horizontal="center" wrapText="1"/>
    </xf>
    <xf numFmtId="165" fontId="62" fillId="42" borderId="68" xfId="44" applyFont="1" applyFill="1" applyBorder="1" applyAlignment="1">
      <alignment wrapText="1"/>
    </xf>
    <xf numFmtId="164" fontId="63" fillId="42" borderId="68" xfId="38" applyFont="1" applyFill="1" applyBorder="1"/>
    <xf numFmtId="165" fontId="62" fillId="42" borderId="65" xfId="38" applyNumberFormat="1" applyFont="1" applyFill="1" applyBorder="1"/>
    <xf numFmtId="10" fontId="62" fillId="42" borderId="65" xfId="39" applyNumberFormat="1" applyFont="1" applyFill="1" applyBorder="1" applyAlignment="1">
      <alignment horizontal="center"/>
    </xf>
    <xf numFmtId="164" fontId="62" fillId="42" borderId="65" xfId="38" applyFont="1" applyFill="1" applyBorder="1"/>
    <xf numFmtId="164" fontId="62" fillId="39" borderId="70" xfId="38" applyFont="1" applyFill="1" applyBorder="1" applyAlignment="1">
      <alignment wrapText="1"/>
    </xf>
    <xf numFmtId="164" fontId="63" fillId="39" borderId="69" xfId="38" applyFont="1" applyFill="1" applyBorder="1" applyAlignment="1">
      <alignment horizontal="center"/>
    </xf>
    <xf numFmtId="165" fontId="63" fillId="39" borderId="65" xfId="38" applyNumberFormat="1" applyFont="1" applyFill="1" applyBorder="1"/>
    <xf numFmtId="9" fontId="63" fillId="39" borderId="65" xfId="39" applyFont="1" applyFill="1" applyBorder="1" applyAlignment="1">
      <alignment horizontal="center"/>
    </xf>
    <xf numFmtId="164" fontId="63" fillId="39" borderId="65" xfId="38" applyFont="1" applyFill="1" applyBorder="1"/>
    <xf numFmtId="165" fontId="64" fillId="39" borderId="64" xfId="44" applyFont="1"/>
    <xf numFmtId="2" fontId="58" fillId="39" borderId="65" xfId="44" applyNumberFormat="1" applyFont="1" applyBorder="1" applyAlignment="1">
      <alignment wrapText="1"/>
    </xf>
    <xf numFmtId="165" fontId="58" fillId="39" borderId="77" xfId="44" applyFont="1" applyBorder="1" applyAlignment="1">
      <alignment wrapText="1"/>
    </xf>
    <xf numFmtId="165" fontId="59" fillId="39" borderId="65" xfId="44" applyFont="1" applyBorder="1" applyAlignment="1">
      <alignment wrapText="1"/>
    </xf>
    <xf numFmtId="49" fontId="58" fillId="39" borderId="65" xfId="44" applyNumberFormat="1" applyBorder="1" applyAlignment="1">
      <alignment horizontal="center"/>
    </xf>
    <xf numFmtId="165" fontId="58" fillId="45" borderId="69" xfId="44" applyFill="1" applyBorder="1" applyAlignment="1">
      <alignment horizontal="center"/>
    </xf>
    <xf numFmtId="49" fontId="58" fillId="39" borderId="65" xfId="44" applyNumberFormat="1" applyBorder="1"/>
    <xf numFmtId="49" fontId="58" fillId="39" borderId="65" xfId="44" applyNumberFormat="1" applyFont="1" applyBorder="1" applyAlignment="1">
      <alignment horizontal="center"/>
    </xf>
    <xf numFmtId="165" fontId="58" fillId="45" borderId="65" xfId="38" applyNumberFormat="1" applyFont="1" applyFill="1" applyBorder="1"/>
    <xf numFmtId="165" fontId="59" fillId="39" borderId="70" xfId="44" applyFont="1" applyBorder="1" applyAlignment="1">
      <alignment wrapText="1"/>
    </xf>
    <xf numFmtId="0" fontId="59" fillId="39" borderId="65" xfId="44" applyNumberFormat="1" applyFont="1" applyBorder="1" applyAlignment="1">
      <alignment horizontal="center"/>
    </xf>
    <xf numFmtId="165" fontId="58" fillId="45" borderId="65" xfId="44" applyFont="1" applyFill="1" applyBorder="1" applyAlignment="1">
      <alignment horizontal="left" wrapText="1"/>
    </xf>
    <xf numFmtId="165" fontId="58" fillId="45" borderId="65" xfId="44" applyFont="1" applyFill="1" applyBorder="1" applyAlignment="1">
      <alignment horizontal="center" wrapText="1"/>
    </xf>
    <xf numFmtId="0" fontId="58" fillId="45" borderId="65" xfId="44" applyNumberFormat="1" applyFill="1" applyBorder="1" applyAlignment="1">
      <alignment horizontal="center"/>
    </xf>
    <xf numFmtId="165" fontId="58" fillId="45" borderId="70" xfId="44" applyFont="1" applyFill="1" applyBorder="1" applyAlignment="1">
      <alignment horizontal="left" wrapText="1"/>
    </xf>
    <xf numFmtId="165" fontId="58" fillId="39" borderId="65" xfId="38" applyNumberFormat="1" applyFont="1" applyBorder="1"/>
    <xf numFmtId="165" fontId="59" fillId="39" borderId="64" xfId="44" applyFont="1" applyAlignment="1">
      <alignment wrapText="1"/>
    </xf>
    <xf numFmtId="165" fontId="59" fillId="45" borderId="65" xfId="38" applyNumberFormat="1" applyFont="1" applyFill="1" applyBorder="1"/>
    <xf numFmtId="49" fontId="58" fillId="45" borderId="65" xfId="44" applyNumberFormat="1" applyFill="1" applyBorder="1" applyAlignment="1">
      <alignment horizontal="center"/>
    </xf>
    <xf numFmtId="49" fontId="58" fillId="39" borderId="65" xfId="44" applyNumberFormat="1" applyBorder="1" applyAlignment="1">
      <alignment horizontal="center" vertical="center"/>
    </xf>
    <xf numFmtId="165" fontId="58" fillId="39" borderId="65" xfId="44" applyFont="1" applyBorder="1" applyAlignment="1">
      <alignment horizontal="center" vertical="center" wrapText="1"/>
    </xf>
    <xf numFmtId="165" fontId="58" fillId="39" borderId="70" xfId="44" applyFont="1" applyBorder="1" applyAlignment="1">
      <alignment wrapText="1"/>
    </xf>
    <xf numFmtId="165" fontId="59" fillId="39" borderId="69" xfId="44" applyFont="1" applyBorder="1" applyAlignment="1">
      <alignment wrapText="1"/>
    </xf>
    <xf numFmtId="165" fontId="58" fillId="39" borderId="69" xfId="44" applyFont="1" applyBorder="1" applyAlignment="1">
      <alignment wrapText="1"/>
    </xf>
    <xf numFmtId="49" fontId="58" fillId="39" borderId="65" xfId="44" applyNumberFormat="1" applyFont="1" applyBorder="1"/>
    <xf numFmtId="165" fontId="59" fillId="45" borderId="65" xfId="44" applyFont="1" applyFill="1" applyBorder="1" applyAlignment="1">
      <alignment wrapText="1"/>
    </xf>
    <xf numFmtId="0" fontId="59" fillId="45" borderId="65" xfId="44" applyNumberFormat="1" applyFont="1" applyFill="1" applyBorder="1" applyAlignment="1">
      <alignment horizontal="center" wrapText="1"/>
    </xf>
    <xf numFmtId="0" fontId="59" fillId="39" borderId="65" xfId="44" applyNumberFormat="1" applyFont="1" applyBorder="1" applyAlignment="1">
      <alignment horizontal="center" wrapText="1"/>
    </xf>
    <xf numFmtId="165" fontId="58" fillId="39" borderId="65" xfId="44" applyBorder="1" applyAlignment="1">
      <alignment wrapText="1"/>
    </xf>
    <xf numFmtId="165" fontId="58" fillId="39" borderId="65" xfId="44" applyBorder="1" applyAlignment="1">
      <alignment horizontal="center" wrapText="1"/>
    </xf>
    <xf numFmtId="165" fontId="58" fillId="39" borderId="65" xfId="44" applyNumberFormat="1" applyBorder="1"/>
    <xf numFmtId="165" fontId="59" fillId="39" borderId="65" xfId="44" applyFont="1" applyBorder="1" applyAlignment="1">
      <alignment horizontal="left" wrapText="1"/>
    </xf>
    <xf numFmtId="164" fontId="59" fillId="39" borderId="64" xfId="38" applyFont="1"/>
    <xf numFmtId="9" fontId="59" fillId="41" borderId="65" xfId="39" applyFont="1" applyFill="1" applyBorder="1" applyAlignment="1">
      <alignment horizontal="center"/>
    </xf>
    <xf numFmtId="165" fontId="58" fillId="39" borderId="69" xfId="44" applyFont="1" applyBorder="1" applyAlignment="1">
      <alignment horizontal="left"/>
    </xf>
    <xf numFmtId="165" fontId="58" fillId="45" borderId="65" xfId="44" applyFill="1" applyBorder="1" applyAlignment="1">
      <alignment horizontal="center"/>
    </xf>
    <xf numFmtId="0" fontId="55" fillId="39" borderId="64" xfId="36" applyNumberFormat="1"/>
    <xf numFmtId="165" fontId="55" fillId="39" borderId="65" xfId="36" applyBorder="1" applyAlignment="1">
      <alignment horizontal="center"/>
    </xf>
    <xf numFmtId="0" fontId="58" fillId="39" borderId="65" xfId="36" applyNumberFormat="1" applyFont="1" applyFill="1" applyBorder="1" applyAlignment="1">
      <alignment horizontal="center"/>
    </xf>
    <xf numFmtId="0" fontId="59" fillId="44" borderId="65" xfId="36" applyNumberFormat="1" applyFont="1" applyFill="1" applyBorder="1" applyAlignment="1">
      <alignment horizontal="center"/>
    </xf>
    <xf numFmtId="165" fontId="59" fillId="44" borderId="65" xfId="36" applyFont="1" applyFill="1" applyBorder="1" applyAlignment="1">
      <alignment horizontal="center"/>
    </xf>
    <xf numFmtId="168" fontId="59" fillId="44" borderId="65" xfId="36" applyNumberFormat="1" applyFont="1" applyFill="1" applyBorder="1" applyAlignment="1">
      <alignment horizontal="center"/>
    </xf>
    <xf numFmtId="165" fontId="59" fillId="44" borderId="65" xfId="36" applyFont="1" applyFill="1" applyBorder="1" applyAlignment="1">
      <alignment horizontal="center" wrapText="1"/>
    </xf>
    <xf numFmtId="0" fontId="59" fillId="48" borderId="65" xfId="36" applyNumberFormat="1" applyFont="1" applyFill="1" applyBorder="1" applyAlignment="1">
      <alignment horizontal="center"/>
    </xf>
    <xf numFmtId="165" fontId="59" fillId="48" borderId="65" xfId="36" applyFont="1" applyFill="1" applyBorder="1" applyAlignment="1">
      <alignment horizontal="left"/>
    </xf>
    <xf numFmtId="165" fontId="55" fillId="48" borderId="65" xfId="36" applyFill="1" applyBorder="1" applyAlignment="1">
      <alignment horizontal="center"/>
    </xf>
    <xf numFmtId="164" fontId="55" fillId="48" borderId="65" xfId="38" applyFont="1" applyFill="1" applyBorder="1"/>
    <xf numFmtId="168" fontId="59" fillId="48" borderId="65" xfId="38" applyNumberFormat="1" applyFont="1" applyFill="1" applyBorder="1"/>
    <xf numFmtId="164" fontId="65" fillId="49" borderId="65" xfId="38" applyFont="1" applyFill="1" applyBorder="1" applyAlignment="1">
      <alignment horizontal="right"/>
    </xf>
    <xf numFmtId="165" fontId="66" fillId="39" borderId="65" xfId="36" applyFont="1" applyBorder="1" applyAlignment="1">
      <alignment horizontal="right"/>
    </xf>
    <xf numFmtId="9" fontId="55" fillId="39" borderId="65" xfId="39" applyFont="1" applyBorder="1" applyAlignment="1">
      <alignment horizontal="center"/>
    </xf>
    <xf numFmtId="164" fontId="55" fillId="39" borderId="65" xfId="38" applyFont="1" applyBorder="1"/>
    <xf numFmtId="168" fontId="66" fillId="39" borderId="65" xfId="38" applyNumberFormat="1" applyFont="1" applyBorder="1" applyAlignment="1">
      <alignment horizontal="right"/>
    </xf>
    <xf numFmtId="164" fontId="66" fillId="39" borderId="65" xfId="38" applyFont="1" applyBorder="1" applyAlignment="1">
      <alignment horizontal="right"/>
    </xf>
    <xf numFmtId="165" fontId="58" fillId="39" borderId="65" xfId="36" applyFont="1" applyBorder="1" applyAlignment="1">
      <alignment horizontal="left"/>
    </xf>
    <xf numFmtId="10" fontId="55" fillId="39" borderId="65" xfId="39" applyNumberFormat="1" applyFont="1" applyBorder="1" applyAlignment="1">
      <alignment horizontal="center"/>
    </xf>
    <xf numFmtId="168" fontId="58" fillId="39" borderId="65" xfId="38" applyNumberFormat="1" applyFont="1" applyBorder="1" applyAlignment="1">
      <alignment horizontal="right"/>
    </xf>
    <xf numFmtId="164" fontId="58" fillId="39" borderId="65" xfId="38" applyFont="1" applyBorder="1" applyAlignment="1">
      <alignment horizontal="right" wrapText="1"/>
    </xf>
    <xf numFmtId="0" fontId="59" fillId="41" borderId="65" xfId="36" applyNumberFormat="1" applyFont="1" applyFill="1" applyBorder="1" applyAlignment="1">
      <alignment horizontal="center"/>
    </xf>
    <xf numFmtId="165" fontId="59" fillId="41" borderId="65" xfId="36" applyFont="1" applyFill="1" applyBorder="1"/>
    <xf numFmtId="10" fontId="55" fillId="41" borderId="65" xfId="39" applyNumberFormat="1" applyFont="1" applyFill="1" applyBorder="1" applyAlignment="1">
      <alignment horizontal="center"/>
    </xf>
    <xf numFmtId="10" fontId="59" fillId="41" borderId="65" xfId="39" applyNumberFormat="1" applyFont="1" applyFill="1" applyBorder="1" applyAlignment="1">
      <alignment horizontal="center"/>
    </xf>
    <xf numFmtId="168" fontId="59" fillId="41" borderId="65" xfId="38" applyNumberFormat="1" applyFont="1" applyFill="1" applyBorder="1"/>
    <xf numFmtId="164" fontId="59" fillId="41" borderId="65" xfId="36" applyNumberFormat="1" applyFont="1" applyFill="1" applyBorder="1" applyAlignment="1">
      <alignment wrapText="1"/>
    </xf>
    <xf numFmtId="10" fontId="55" fillId="39" borderId="65" xfId="39" applyNumberFormat="1" applyFont="1" applyBorder="1"/>
    <xf numFmtId="168" fontId="58" fillId="45" borderId="65" xfId="38" applyNumberFormat="1" applyFont="1" applyFill="1" applyBorder="1" applyAlignment="1">
      <alignment horizontal="right"/>
    </xf>
    <xf numFmtId="164" fontId="55" fillId="39" borderId="65" xfId="38" applyFont="1" applyBorder="1" applyAlignment="1">
      <alignment wrapText="1"/>
    </xf>
    <xf numFmtId="0" fontId="59" fillId="50" borderId="65" xfId="36" applyNumberFormat="1" applyFont="1" applyFill="1" applyBorder="1" applyAlignment="1">
      <alignment horizontal="center"/>
    </xf>
    <xf numFmtId="165" fontId="59" fillId="50" borderId="65" xfId="36" applyFont="1" applyFill="1" applyBorder="1"/>
    <xf numFmtId="9" fontId="59" fillId="50" borderId="65" xfId="39" applyFont="1" applyFill="1" applyBorder="1" applyAlignment="1">
      <alignment horizontal="center"/>
    </xf>
    <xf numFmtId="169" fontId="59" fillId="50" borderId="65" xfId="39" applyNumberFormat="1" applyFont="1" applyFill="1" applyBorder="1" applyAlignment="1">
      <alignment horizontal="center"/>
    </xf>
    <xf numFmtId="168" fontId="59" fillId="50" borderId="65" xfId="38" applyNumberFormat="1" applyFont="1" applyFill="1" applyBorder="1"/>
    <xf numFmtId="164" fontId="59" fillId="50" borderId="65" xfId="36" applyNumberFormat="1" applyFont="1" applyFill="1" applyBorder="1" applyAlignment="1">
      <alignment wrapText="1"/>
    </xf>
    <xf numFmtId="10" fontId="59" fillId="39" borderId="65" xfId="39" applyNumberFormat="1" applyFont="1" applyBorder="1"/>
    <xf numFmtId="168" fontId="59" fillId="39" borderId="65" xfId="38" applyNumberFormat="1" applyFont="1" applyBorder="1"/>
    <xf numFmtId="165" fontId="58" fillId="39" borderId="65" xfId="36" applyFont="1" applyBorder="1" applyAlignment="1">
      <alignment horizontal="right"/>
    </xf>
    <xf numFmtId="164" fontId="55" fillId="39" borderId="65" xfId="36" applyNumberFormat="1" applyBorder="1"/>
    <xf numFmtId="168" fontId="55" fillId="39" borderId="65" xfId="38" applyNumberFormat="1" applyFont="1" applyBorder="1"/>
    <xf numFmtId="168" fontId="59" fillId="50" borderId="65" xfId="36" applyNumberFormat="1" applyFont="1" applyFill="1" applyBorder="1"/>
    <xf numFmtId="168" fontId="55" fillId="39" borderId="65" xfId="36" applyNumberFormat="1" applyBorder="1"/>
    <xf numFmtId="165" fontId="55" fillId="39" borderId="65" xfId="36" applyBorder="1" applyAlignment="1">
      <alignment horizontal="right"/>
    </xf>
    <xf numFmtId="168" fontId="55" fillId="39" borderId="64" xfId="36" applyNumberFormat="1"/>
    <xf numFmtId="165" fontId="55" fillId="39" borderId="64" xfId="36" applyAlignment="1">
      <alignment wrapText="1"/>
    </xf>
    <xf numFmtId="0" fontId="58" fillId="47" borderId="65" xfId="44" applyNumberFormat="1" applyFont="1" applyFill="1" applyBorder="1" applyAlignment="1">
      <alignment horizontal="center"/>
    </xf>
    <xf numFmtId="165" fontId="58" fillId="47" borderId="66" xfId="44" applyFont="1" applyFill="1" applyBorder="1" applyAlignment="1">
      <alignment wrapText="1"/>
    </xf>
    <xf numFmtId="49" fontId="58" fillId="39" borderId="65" xfId="36" applyNumberFormat="1" applyFont="1" applyBorder="1" applyAlignment="1">
      <alignment horizontal="center"/>
    </xf>
    <xf numFmtId="165" fontId="58" fillId="45" borderId="65" xfId="36" applyFont="1" applyFill="1" applyBorder="1" applyAlignment="1">
      <alignment wrapText="1"/>
    </xf>
    <xf numFmtId="0" fontId="58" fillId="47" borderId="69" xfId="44" applyNumberFormat="1" applyFont="1" applyFill="1" applyBorder="1" applyAlignment="1">
      <alignment horizontal="center"/>
    </xf>
    <xf numFmtId="0" fontId="59" fillId="47" borderId="69" xfId="44" applyNumberFormat="1" applyFont="1" applyFill="1" applyBorder="1" applyAlignment="1">
      <alignment horizontal="center"/>
    </xf>
    <xf numFmtId="49" fontId="55" fillId="39" borderId="64" xfId="36" applyNumberFormat="1"/>
    <xf numFmtId="0" fontId="58" fillId="45" borderId="69" xfId="44" applyNumberFormat="1" applyFont="1" applyFill="1" applyBorder="1" applyAlignment="1">
      <alignment horizontal="center" vertical="center"/>
    </xf>
    <xf numFmtId="165" fontId="58" fillId="39" borderId="69" xfId="44" applyBorder="1" applyAlignment="1">
      <alignment horizontal="center" vertical="center"/>
    </xf>
    <xf numFmtId="165" fontId="58" fillId="39" borderId="65" xfId="44" applyFont="1" applyBorder="1" applyAlignment="1">
      <alignment vertical="center" wrapText="1"/>
    </xf>
    <xf numFmtId="165" fontId="58" fillId="39" borderId="65" xfId="44" applyBorder="1" applyAlignment="1">
      <alignment horizontal="center" vertical="center"/>
    </xf>
    <xf numFmtId="165" fontId="58" fillId="39" borderId="66" xfId="44" applyFont="1" applyBorder="1" applyAlignment="1">
      <alignment horizontal="center" vertical="center" wrapText="1"/>
    </xf>
    <xf numFmtId="165" fontId="55" fillId="39" borderId="65" xfId="38" applyNumberFormat="1" applyFont="1" applyBorder="1" applyAlignment="1">
      <alignment vertical="center"/>
    </xf>
    <xf numFmtId="9" fontId="55" fillId="41" borderId="65" xfId="39" applyFont="1" applyFill="1" applyBorder="1" applyAlignment="1">
      <alignment horizontal="center" vertical="center"/>
    </xf>
    <xf numFmtId="165" fontId="55" fillId="45" borderId="65" xfId="38" applyNumberFormat="1" applyFont="1" applyFill="1" applyBorder="1" applyAlignment="1">
      <alignment vertical="center"/>
    </xf>
    <xf numFmtId="165" fontId="58" fillId="39" borderId="64" xfId="44" applyAlignment="1">
      <alignment vertical="center"/>
    </xf>
    <xf numFmtId="0" fontId="58" fillId="47" borderId="69" xfId="44" applyNumberFormat="1" applyFont="1" applyFill="1" applyBorder="1" applyAlignment="1">
      <alignment horizontal="center" vertical="center"/>
    </xf>
    <xf numFmtId="165" fontId="58" fillId="45" borderId="69" xfId="44" applyFill="1" applyBorder="1" applyAlignment="1">
      <alignment horizontal="center" vertical="center"/>
    </xf>
    <xf numFmtId="0" fontId="58" fillId="45" borderId="65" xfId="44" applyNumberFormat="1" applyFont="1" applyFill="1" applyBorder="1" applyAlignment="1">
      <alignment horizontal="center" vertical="center"/>
    </xf>
    <xf numFmtId="0" fontId="59" fillId="45" borderId="69" xfId="44" applyNumberFormat="1" applyFont="1" applyFill="1" applyBorder="1" applyAlignment="1">
      <alignment horizontal="center" vertical="center"/>
    </xf>
    <xf numFmtId="165" fontId="59" fillId="39" borderId="69" xfId="44" applyFont="1" applyBorder="1" applyAlignment="1">
      <alignment horizontal="center" vertical="center"/>
    </xf>
    <xf numFmtId="49" fontId="58" fillId="39" borderId="65" xfId="44" applyNumberFormat="1" applyBorder="1" applyAlignment="1">
      <alignment vertical="center"/>
    </xf>
    <xf numFmtId="0" fontId="58" fillId="39" borderId="65" xfId="44" applyNumberFormat="1" applyBorder="1" applyAlignment="1">
      <alignment horizontal="center" vertical="center"/>
    </xf>
    <xf numFmtId="164" fontId="55" fillId="39" borderId="64" xfId="38" applyFont="1" applyAlignment="1">
      <alignment vertical="center"/>
    </xf>
    <xf numFmtId="0" fontId="67" fillId="39" borderId="64" xfId="40" applyFont="1"/>
    <xf numFmtId="164" fontId="67" fillId="39" borderId="64" xfId="38" applyFont="1"/>
    <xf numFmtId="0" fontId="67" fillId="39" borderId="64" xfId="40" applyFont="1" applyAlignment="1">
      <alignment horizontal="center" vertical="center"/>
    </xf>
    <xf numFmtId="168" fontId="67" fillId="39" borderId="64" xfId="40" applyNumberFormat="1" applyFont="1"/>
    <xf numFmtId="9" fontId="55" fillId="39" borderId="65" xfId="39" applyFont="1" applyBorder="1"/>
    <xf numFmtId="10" fontId="55" fillId="39" borderId="65" xfId="39" applyNumberFormat="1" applyFont="1" applyBorder="1" applyAlignment="1">
      <alignment horizontal="center" vertical="center"/>
    </xf>
    <xf numFmtId="10" fontId="55" fillId="39" borderId="64" xfId="39" applyNumberFormat="1" applyFont="1"/>
    <xf numFmtId="165" fontId="58" fillId="39" borderId="64" xfId="36" applyFont="1"/>
    <xf numFmtId="164" fontId="55" fillId="39" borderId="65" xfId="38" applyFont="1" applyBorder="1" applyAlignment="1">
      <alignment vertical="center" wrapText="1"/>
    </xf>
    <xf numFmtId="0" fontId="68" fillId="39" borderId="65" xfId="40" applyFont="1" applyBorder="1" applyAlignment="1">
      <alignment horizontal="center" vertical="center"/>
    </xf>
    <xf numFmtId="0" fontId="67" fillId="39" borderId="64" xfId="38" applyNumberFormat="1" applyFont="1" applyAlignment="1">
      <alignment horizontal="center" vertical="center"/>
    </xf>
    <xf numFmtId="0" fontId="68" fillId="39" borderId="65" xfId="40" applyNumberFormat="1" applyFont="1" applyBorder="1" applyAlignment="1">
      <alignment horizontal="center" vertical="center"/>
    </xf>
    <xf numFmtId="0" fontId="67" fillId="39" borderId="65" xfId="40" applyFont="1" applyBorder="1" applyAlignment="1">
      <alignment horizontal="center" vertical="center"/>
    </xf>
    <xf numFmtId="0" fontId="67" fillId="39" borderId="65" xfId="40" applyFont="1" applyBorder="1" applyAlignment="1">
      <alignment horizontal="left" vertical="center"/>
    </xf>
    <xf numFmtId="0" fontId="67" fillId="39" borderId="65" xfId="38" applyNumberFormat="1" applyFont="1" applyBorder="1" applyAlignment="1">
      <alignment horizontal="center" vertical="center"/>
    </xf>
    <xf numFmtId="0" fontId="68" fillId="39" borderId="65" xfId="40" applyFont="1" applyBorder="1" applyAlignment="1">
      <alignment horizontal="center" vertical="center" wrapText="1"/>
    </xf>
    <xf numFmtId="164" fontId="67" fillId="39" borderId="65" xfId="38" applyFont="1" applyBorder="1"/>
    <xf numFmtId="165" fontId="68" fillId="39" borderId="65" xfId="36" applyFont="1" applyBorder="1" applyAlignment="1">
      <alignment horizontal="center" vertical="center"/>
    </xf>
    <xf numFmtId="0" fontId="68" fillId="39" borderId="65" xfId="36" applyNumberFormat="1" applyFont="1" applyBorder="1" applyAlignment="1">
      <alignment horizontal="center" vertical="center"/>
    </xf>
    <xf numFmtId="165" fontId="67" fillId="39" borderId="65" xfId="36" applyFont="1" applyBorder="1" applyAlignment="1">
      <alignment horizontal="left" vertical="center"/>
    </xf>
    <xf numFmtId="165" fontId="67" fillId="39" borderId="65" xfId="36" applyFont="1" applyBorder="1" applyAlignment="1">
      <alignment horizontal="center" vertical="center"/>
    </xf>
    <xf numFmtId="0" fontId="67" fillId="39" borderId="65" xfId="36" applyNumberFormat="1" applyFont="1" applyBorder="1" applyAlignment="1">
      <alignment horizontal="center" vertical="center"/>
    </xf>
    <xf numFmtId="0" fontId="58" fillId="45" borderId="65" xfId="44" applyNumberFormat="1" applyFont="1" applyFill="1" applyBorder="1" applyAlignment="1">
      <alignment wrapText="1"/>
    </xf>
    <xf numFmtId="165" fontId="55" fillId="42" borderId="65" xfId="36" applyFill="1" applyBorder="1"/>
    <xf numFmtId="10" fontId="55" fillId="39" borderId="77" xfId="39" applyNumberFormat="1" applyFont="1" applyBorder="1" applyAlignment="1">
      <alignment horizontal="center" vertical="center"/>
    </xf>
    <xf numFmtId="10" fontId="55" fillId="39" borderId="78" xfId="39" applyNumberFormat="1" applyFont="1" applyBorder="1" applyAlignment="1">
      <alignment horizontal="center" vertical="center"/>
    </xf>
    <xf numFmtId="10" fontId="55" fillId="39" borderId="69" xfId="39" applyNumberFormat="1" applyFont="1" applyBorder="1" applyAlignment="1">
      <alignment horizontal="center" vertical="center"/>
    </xf>
    <xf numFmtId="164" fontId="55" fillId="39" borderId="77" xfId="38" applyFont="1" applyBorder="1" applyAlignment="1">
      <alignment horizontal="center" vertical="center" wrapText="1"/>
    </xf>
    <xf numFmtId="164" fontId="55" fillId="39" borderId="78" xfId="38" applyFont="1" applyBorder="1" applyAlignment="1">
      <alignment horizontal="center" vertical="center" wrapText="1"/>
    </xf>
    <xf numFmtId="164" fontId="55" fillId="39" borderId="69" xfId="38" applyFont="1" applyBorder="1" applyAlignment="1">
      <alignment horizontal="center" vertical="center" wrapText="1"/>
    </xf>
    <xf numFmtId="165" fontId="68" fillId="39" borderId="65" xfId="36" applyFont="1" applyBorder="1" applyAlignment="1">
      <alignment horizontal="center" vertical="center"/>
    </xf>
    <xf numFmtId="165" fontId="68" fillId="39" borderId="66" xfId="36" applyFont="1" applyBorder="1" applyAlignment="1">
      <alignment horizontal="center" vertical="center"/>
    </xf>
    <xf numFmtId="165" fontId="68" fillId="39" borderId="79" xfId="36" applyFont="1" applyBorder="1" applyAlignment="1">
      <alignment horizontal="center" vertical="center"/>
    </xf>
    <xf numFmtId="165" fontId="68" fillId="39" borderId="71" xfId="36" applyFont="1" applyBorder="1" applyAlignment="1">
      <alignment horizontal="center" vertical="center"/>
    </xf>
    <xf numFmtId="10" fontId="63" fillId="39" borderId="72" xfId="39" applyNumberFormat="1" applyFont="1" applyFill="1" applyBorder="1" applyAlignment="1">
      <alignment horizontal="center" vertical="center" wrapText="1"/>
    </xf>
    <xf numFmtId="10" fontId="55" fillId="39" borderId="73" xfId="39" applyNumberFormat="1" applyFont="1" applyBorder="1" applyAlignment="1">
      <alignment horizontal="center" vertical="center"/>
    </xf>
    <xf numFmtId="10" fontId="55" fillId="39" borderId="74" xfId="39" applyNumberFormat="1" applyFont="1" applyBorder="1" applyAlignment="1">
      <alignment horizontal="center" vertical="center"/>
    </xf>
    <xf numFmtId="10" fontId="55" fillId="39" borderId="75" xfId="39" applyNumberFormat="1" applyFont="1" applyBorder="1" applyAlignment="1">
      <alignment horizontal="center" vertical="center"/>
    </xf>
    <xf numFmtId="10" fontId="55" fillId="39" borderId="70" xfId="39" applyNumberFormat="1" applyFont="1" applyBorder="1" applyAlignment="1">
      <alignment horizontal="center" vertical="center"/>
    </xf>
    <xf numFmtId="10" fontId="55" fillId="39" borderId="76" xfId="39" applyNumberFormat="1" applyFont="1" applyBorder="1" applyAlignment="1">
      <alignment horizontal="center" vertical="center"/>
    </xf>
    <xf numFmtId="10" fontId="63" fillId="39" borderId="66" xfId="39" applyNumberFormat="1" applyFont="1" applyFill="1" applyBorder="1" applyAlignment="1">
      <alignment horizontal="center" vertical="center"/>
    </xf>
    <xf numFmtId="10" fontId="55" fillId="39" borderId="71" xfId="39" applyNumberFormat="1" applyFont="1" applyBorder="1" applyAlignment="1">
      <alignment horizontal="center" vertical="center"/>
    </xf>
    <xf numFmtId="0" fontId="69" fillId="39" borderId="65" xfId="36" applyNumberFormat="1" applyFont="1" applyFill="1" applyBorder="1" applyAlignment="1">
      <alignment horizontal="center"/>
    </xf>
    <xf numFmtId="165" fontId="69" fillId="39" borderId="65" xfId="36" applyNumberFormat="1" applyFont="1" applyFill="1" applyBorder="1"/>
    <xf numFmtId="0" fontId="70" fillId="39" borderId="65" xfId="36" applyNumberFormat="1" applyFont="1" applyFill="1" applyBorder="1" applyAlignment="1">
      <alignment horizontal="center"/>
    </xf>
    <xf numFmtId="165" fontId="71" fillId="39" borderId="65" xfId="36" applyNumberFormat="1" applyFont="1" applyFill="1" applyBorder="1"/>
    <xf numFmtId="165" fontId="70" fillId="39" borderId="65" xfId="36" applyNumberFormat="1" applyFont="1" applyFill="1" applyBorder="1"/>
    <xf numFmtId="165" fontId="70" fillId="39" borderId="65" xfId="36" applyNumberFormat="1" applyFont="1" applyFill="1" applyBorder="1" applyAlignment="1">
      <alignment wrapText="1"/>
    </xf>
    <xf numFmtId="0" fontId="69" fillId="39" borderId="65" xfId="36" applyNumberFormat="1" applyFont="1" applyFill="1" applyBorder="1" applyAlignment="1">
      <alignment horizontal="center" wrapText="1"/>
    </xf>
    <xf numFmtId="165" fontId="69" fillId="39" borderId="65" xfId="36" applyNumberFormat="1" applyFont="1" applyFill="1" applyBorder="1" applyAlignment="1">
      <alignment wrapText="1"/>
    </xf>
    <xf numFmtId="0" fontId="70" fillId="39" borderId="65" xfId="36" applyNumberFormat="1" applyFont="1" applyFill="1" applyBorder="1" applyAlignment="1">
      <alignment horizontal="center" wrapText="1"/>
    </xf>
    <xf numFmtId="165" fontId="71" fillId="39" borderId="65" xfId="36" applyNumberFormat="1" applyFont="1" applyFill="1" applyBorder="1" applyAlignment="1">
      <alignment wrapText="1"/>
    </xf>
    <xf numFmtId="0" fontId="69" fillId="39" borderId="65" xfId="36" applyNumberFormat="1" applyFont="1" applyFill="1" applyBorder="1" applyAlignment="1">
      <alignment horizontal="center" vertical="center" wrapText="1"/>
    </xf>
    <xf numFmtId="165" fontId="69" fillId="39" borderId="65" xfId="36" applyNumberFormat="1" applyFont="1" applyFill="1" applyBorder="1" applyAlignment="1">
      <alignment vertical="center" wrapText="1"/>
    </xf>
    <xf numFmtId="0" fontId="70" fillId="39" borderId="65" xfId="36" applyNumberFormat="1" applyFont="1" applyFill="1" applyBorder="1" applyAlignment="1">
      <alignment horizontal="center" vertical="center" wrapText="1"/>
    </xf>
    <xf numFmtId="165" fontId="71" fillId="39" borderId="65" xfId="36" applyNumberFormat="1" applyFont="1" applyFill="1" applyBorder="1" applyAlignment="1">
      <alignment vertical="center" wrapText="1"/>
    </xf>
    <xf numFmtId="165" fontId="70" fillId="39" borderId="65" xfId="36" applyNumberFormat="1" applyFont="1" applyFill="1" applyBorder="1" applyAlignment="1">
      <alignment vertical="center" wrapText="1"/>
    </xf>
    <xf numFmtId="0" fontId="70" fillId="51" borderId="65" xfId="36" applyNumberFormat="1" applyFont="1" applyFill="1" applyBorder="1" applyAlignment="1">
      <alignment horizontal="center" vertical="center" wrapText="1"/>
    </xf>
    <xf numFmtId="165" fontId="71" fillId="51" borderId="65" xfId="36" applyNumberFormat="1" applyFont="1" applyFill="1" applyBorder="1" applyAlignment="1">
      <alignment vertical="center" wrapText="1"/>
    </xf>
    <xf numFmtId="0" fontId="70" fillId="51" borderId="80" xfId="36" applyNumberFormat="1" applyFont="1" applyFill="1" applyBorder="1" applyAlignment="1">
      <alignment horizontal="center" vertical="center" wrapText="1"/>
    </xf>
    <xf numFmtId="165" fontId="71" fillId="51" borderId="80" xfId="36" applyNumberFormat="1" applyFont="1" applyFill="1" applyBorder="1" applyAlignment="1">
      <alignment vertical="center" wrapText="1"/>
    </xf>
    <xf numFmtId="0" fontId="70" fillId="52" borderId="65" xfId="36" applyNumberFormat="1" applyFont="1" applyFill="1" applyBorder="1" applyAlignment="1">
      <alignment horizontal="center" vertical="center" wrapText="1"/>
    </xf>
    <xf numFmtId="165" fontId="71" fillId="52" borderId="65" xfId="36" applyNumberFormat="1" applyFont="1" applyFill="1" applyBorder="1" applyAlignment="1">
      <alignment vertical="center" wrapText="1"/>
    </xf>
    <xf numFmtId="0" fontId="70" fillId="52" borderId="80" xfId="36" applyNumberFormat="1" applyFont="1" applyFill="1" applyBorder="1" applyAlignment="1">
      <alignment horizontal="center" vertical="center" wrapText="1"/>
    </xf>
    <xf numFmtId="165" fontId="71" fillId="52" borderId="80" xfId="36" applyNumberFormat="1" applyFont="1" applyFill="1" applyBorder="1" applyAlignment="1">
      <alignment vertical="center" wrapText="1"/>
    </xf>
    <xf numFmtId="165" fontId="70" fillId="51" borderId="65" xfId="36" applyNumberFormat="1" applyFont="1" applyFill="1" applyBorder="1" applyAlignment="1">
      <alignment vertical="center" wrapText="1"/>
    </xf>
    <xf numFmtId="165" fontId="70" fillId="51" borderId="80" xfId="36" applyNumberFormat="1" applyFont="1" applyFill="1" applyBorder="1" applyAlignment="1">
      <alignment vertical="center" wrapText="1"/>
    </xf>
    <xf numFmtId="165" fontId="70" fillId="52" borderId="65" xfId="36" applyNumberFormat="1" applyFont="1" applyFill="1" applyBorder="1" applyAlignment="1">
      <alignment vertical="center" wrapText="1"/>
    </xf>
    <xf numFmtId="165" fontId="70" fillId="52" borderId="80" xfId="36" applyNumberFormat="1" applyFont="1" applyFill="1" applyBorder="1" applyAlignment="1">
      <alignment vertical="center" wrapText="1"/>
    </xf>
    <xf numFmtId="0" fontId="69" fillId="53" borderId="65" xfId="36" applyNumberFormat="1" applyFont="1" applyFill="1" applyBorder="1" applyAlignment="1">
      <alignment horizontal="center" vertical="center" wrapText="1"/>
    </xf>
    <xf numFmtId="165" fontId="69" fillId="53" borderId="65" xfId="36" applyNumberFormat="1" applyFont="1" applyFill="1" applyBorder="1" applyAlignment="1">
      <alignment vertical="center" wrapText="1"/>
    </xf>
    <xf numFmtId="0" fontId="72" fillId="53" borderId="65" xfId="36" applyNumberFormat="1" applyFont="1" applyFill="1" applyBorder="1" applyAlignment="1">
      <alignment horizontal="center" vertical="center" wrapText="1"/>
    </xf>
    <xf numFmtId="165" fontId="72" fillId="53" borderId="65" xfId="36" applyNumberFormat="1" applyFont="1" applyFill="1" applyBorder="1" applyAlignment="1">
      <alignment vertical="center" wrapText="1"/>
    </xf>
    <xf numFmtId="0" fontId="72" fillId="53" borderId="81" xfId="36" applyNumberFormat="1" applyFont="1" applyFill="1" applyBorder="1" applyAlignment="1">
      <alignment horizontal="center" vertical="center" wrapText="1"/>
    </xf>
    <xf numFmtId="165" fontId="72" fillId="53" borderId="81" xfId="36" applyNumberFormat="1" applyFont="1" applyFill="1" applyBorder="1" applyAlignment="1">
      <alignment vertical="center" wrapText="1"/>
    </xf>
    <xf numFmtId="165" fontId="72" fillId="53" borderId="81" xfId="36" applyNumberFormat="1" applyFont="1" applyFill="1" applyBorder="1" applyAlignment="1">
      <alignment horizontal="center" vertical="center" wrapText="1"/>
    </xf>
    <xf numFmtId="0" fontId="73" fillId="51" borderId="80" xfId="36" applyNumberFormat="1" applyFont="1" applyFill="1" applyBorder="1" applyAlignment="1">
      <alignment horizontal="center" vertical="center" wrapText="1"/>
    </xf>
    <xf numFmtId="0" fontId="73" fillId="51" borderId="80" xfId="36" applyNumberFormat="1" applyFont="1" applyFill="1" applyBorder="1" applyAlignment="1">
      <alignment horizontal="right" vertical="center" wrapText="1"/>
    </xf>
    <xf numFmtId="0" fontId="73" fillId="52" borderId="80" xfId="36" applyNumberFormat="1" applyFont="1" applyFill="1" applyBorder="1" applyAlignment="1">
      <alignment horizontal="center" vertical="center" wrapText="1"/>
    </xf>
    <xf numFmtId="0" fontId="73" fillId="52" borderId="80" xfId="36" applyNumberFormat="1" applyFont="1" applyFill="1" applyBorder="1" applyAlignment="1">
      <alignment horizontal="right" vertical="center" wrapText="1"/>
    </xf>
    <xf numFmtId="165" fontId="69" fillId="43" borderId="65" xfId="36" applyNumberFormat="1" applyFont="1" applyFill="1" applyBorder="1" applyAlignment="1">
      <alignment wrapText="1"/>
    </xf>
    <xf numFmtId="165" fontId="69" fillId="43" borderId="65" xfId="36" applyNumberFormat="1" applyFont="1" applyFill="1" applyBorder="1" applyAlignment="1">
      <alignment horizontal="center" wrapText="1"/>
    </xf>
    <xf numFmtId="165" fontId="69" fillId="43" borderId="65" xfId="36" applyNumberFormat="1" applyFont="1" applyFill="1" applyBorder="1" applyAlignment="1">
      <alignment horizontal="center"/>
    </xf>
    <xf numFmtId="165" fontId="70" fillId="39" borderId="64" xfId="36" applyNumberFormat="1" applyFont="1" applyFill="1" applyBorder="1"/>
    <xf numFmtId="165" fontId="71" fillId="39" borderId="65" xfId="36" applyNumberFormat="1" applyFont="1" applyFill="1" applyBorder="1" applyAlignment="1">
      <alignment horizontal="center" vertical="center" wrapText="1"/>
    </xf>
    <xf numFmtId="165" fontId="70" fillId="44" borderId="65" xfId="36" applyNumberFormat="1" applyFont="1" applyFill="1" applyBorder="1" applyAlignment="1">
      <alignment horizontal="center"/>
    </xf>
    <xf numFmtId="164" fontId="70" fillId="39" borderId="64" xfId="36" applyNumberFormat="1" applyFont="1" applyFill="1" applyBorder="1"/>
    <xf numFmtId="164" fontId="70" fillId="44" borderId="65" xfId="36" applyNumberFormat="1" applyFont="1" applyFill="1" applyBorder="1" applyAlignment="1">
      <alignment horizontal="center"/>
    </xf>
    <xf numFmtId="9" fontId="70" fillId="44" borderId="65" xfId="36" applyNumberFormat="1" applyFont="1" applyFill="1" applyBorder="1" applyAlignment="1">
      <alignment horizontal="center"/>
    </xf>
    <xf numFmtId="0" fontId="70" fillId="44" borderId="65" xfId="36" applyNumberFormat="1" applyFont="1" applyFill="1" applyBorder="1" applyAlignment="1">
      <alignment horizontal="center"/>
    </xf>
    <xf numFmtId="165" fontId="70" fillId="39" borderId="64" xfId="36" applyNumberFormat="1" applyFont="1" applyFill="1" applyBorder="1" applyAlignment="1">
      <alignment wrapText="1"/>
    </xf>
    <xf numFmtId="165" fontId="70" fillId="44" borderId="65" xfId="36" applyNumberFormat="1" applyFont="1" applyFill="1" applyBorder="1" applyAlignment="1">
      <alignment horizontal="center" wrapText="1"/>
    </xf>
    <xf numFmtId="164" fontId="70" fillId="39" borderId="64" xfId="36" applyNumberFormat="1" applyFont="1" applyFill="1" applyBorder="1" applyAlignment="1">
      <alignment wrapText="1"/>
    </xf>
    <xf numFmtId="164" fontId="70" fillId="44" borderId="65" xfId="36" applyNumberFormat="1" applyFont="1" applyFill="1" applyBorder="1" applyAlignment="1">
      <alignment horizontal="center" wrapText="1"/>
    </xf>
    <xf numFmtId="9" fontId="70" fillId="44" borderId="65" xfId="36" applyNumberFormat="1" applyFont="1" applyFill="1" applyBorder="1" applyAlignment="1">
      <alignment horizontal="center" wrapText="1"/>
    </xf>
    <xf numFmtId="0" fontId="70" fillId="44" borderId="65" xfId="36" applyNumberFormat="1" applyFont="1" applyFill="1" applyBorder="1" applyAlignment="1">
      <alignment horizontal="center" wrapText="1"/>
    </xf>
    <xf numFmtId="165" fontId="69" fillId="43" borderId="65" xfId="36" applyNumberFormat="1" applyFont="1" applyFill="1" applyBorder="1" applyAlignment="1">
      <alignment vertical="center" wrapText="1"/>
    </xf>
    <xf numFmtId="165" fontId="69" fillId="43" borderId="65" xfId="36" applyNumberFormat="1" applyFont="1" applyFill="1" applyBorder="1" applyAlignment="1">
      <alignment horizontal="center" vertical="center" wrapText="1"/>
    </xf>
    <xf numFmtId="165" fontId="70" fillId="39" borderId="64" xfId="36" applyNumberFormat="1" applyFont="1" applyFill="1" applyBorder="1" applyAlignment="1">
      <alignment vertical="center" wrapText="1"/>
    </xf>
    <xf numFmtId="165" fontId="70" fillId="44" borderId="65" xfId="36" applyNumberFormat="1" applyFont="1" applyFill="1" applyBorder="1" applyAlignment="1">
      <alignment horizontal="center" vertical="center" wrapText="1"/>
    </xf>
    <xf numFmtId="164" fontId="70" fillId="39" borderId="64" xfId="36" applyNumberFormat="1" applyFont="1" applyFill="1" applyBorder="1" applyAlignment="1">
      <alignment vertical="center" wrapText="1"/>
    </xf>
    <xf numFmtId="164" fontId="70" fillId="44" borderId="65" xfId="36" applyNumberFormat="1" applyFont="1" applyFill="1" applyBorder="1" applyAlignment="1">
      <alignment horizontal="center" vertical="center" wrapText="1"/>
    </xf>
    <xf numFmtId="9" fontId="70" fillId="44" borderId="65" xfId="36" applyNumberFormat="1" applyFont="1" applyFill="1" applyBorder="1" applyAlignment="1">
      <alignment horizontal="center" vertical="center" wrapText="1"/>
    </xf>
    <xf numFmtId="0" fontId="70" fillId="44" borderId="65" xfId="36" applyNumberFormat="1" applyFont="1" applyFill="1" applyBorder="1" applyAlignment="1">
      <alignment horizontal="center" vertical="center" wrapText="1"/>
    </xf>
    <xf numFmtId="165" fontId="71" fillId="51" borderId="65" xfId="36" applyNumberFormat="1" applyFont="1" applyFill="1" applyBorder="1" applyAlignment="1">
      <alignment horizontal="center" vertical="center" wrapText="1"/>
    </xf>
    <xf numFmtId="165" fontId="70" fillId="51" borderId="65" xfId="36" applyNumberFormat="1" applyFont="1" applyFill="1" applyBorder="1" applyAlignment="1">
      <alignment horizontal="center" vertical="center" wrapText="1"/>
    </xf>
    <xf numFmtId="164" fontId="70" fillId="51" borderId="64" xfId="36" applyNumberFormat="1" applyFont="1" applyFill="1" applyBorder="1" applyAlignment="1">
      <alignment vertical="center" wrapText="1"/>
    </xf>
    <xf numFmtId="165" fontId="70" fillId="51" borderId="64" xfId="36" applyNumberFormat="1" applyFont="1" applyFill="1" applyBorder="1" applyAlignment="1">
      <alignment vertical="center" wrapText="1"/>
    </xf>
    <xf numFmtId="165" fontId="71" fillId="51" borderId="80" xfId="36" applyNumberFormat="1" applyFont="1" applyFill="1" applyBorder="1" applyAlignment="1">
      <alignment horizontal="center" vertical="center" wrapText="1"/>
    </xf>
    <xf numFmtId="165" fontId="70" fillId="51" borderId="80" xfId="36" applyNumberFormat="1" applyFont="1" applyFill="1" applyBorder="1" applyAlignment="1">
      <alignment horizontal="center" vertical="center" wrapText="1"/>
    </xf>
    <xf numFmtId="164" fontId="70" fillId="51" borderId="82" xfId="36" applyNumberFormat="1" applyFont="1" applyFill="1" applyBorder="1" applyAlignment="1">
      <alignment vertical="center" wrapText="1"/>
    </xf>
    <xf numFmtId="165" fontId="70" fillId="51" borderId="82" xfId="36" applyNumberFormat="1" applyFont="1" applyFill="1" applyBorder="1" applyAlignment="1">
      <alignment vertical="center" wrapText="1"/>
    </xf>
    <xf numFmtId="165" fontId="71" fillId="52" borderId="65" xfId="36" applyNumberFormat="1" applyFont="1" applyFill="1" applyBorder="1" applyAlignment="1">
      <alignment horizontal="center" vertical="center" wrapText="1"/>
    </xf>
    <xf numFmtId="165" fontId="70" fillId="52" borderId="65" xfId="36" applyNumberFormat="1" applyFont="1" applyFill="1" applyBorder="1" applyAlignment="1">
      <alignment horizontal="center" vertical="center" wrapText="1"/>
    </xf>
    <xf numFmtId="165" fontId="70" fillId="52" borderId="64" xfId="36" applyNumberFormat="1" applyFont="1" applyFill="1" applyBorder="1" applyAlignment="1">
      <alignment vertical="center" wrapText="1"/>
    </xf>
    <xf numFmtId="165" fontId="71" fillId="52" borderId="80" xfId="36" applyNumberFormat="1" applyFont="1" applyFill="1" applyBorder="1" applyAlignment="1">
      <alignment horizontal="center" vertical="center" wrapText="1"/>
    </xf>
    <xf numFmtId="165" fontId="70" fillId="52" borderId="80" xfId="36" applyNumberFormat="1" applyFont="1" applyFill="1" applyBorder="1" applyAlignment="1">
      <alignment horizontal="center" vertical="center" wrapText="1"/>
    </xf>
    <xf numFmtId="165" fontId="70" fillId="52" borderId="82" xfId="36" applyNumberFormat="1" applyFont="1" applyFill="1" applyBorder="1" applyAlignment="1">
      <alignment vertical="center" wrapText="1"/>
    </xf>
    <xf numFmtId="164" fontId="70" fillId="51" borderId="65" xfId="36" applyNumberFormat="1" applyFont="1" applyFill="1" applyBorder="1" applyAlignment="1">
      <alignment horizontal="center" vertical="center" wrapText="1"/>
    </xf>
    <xf numFmtId="164" fontId="70" fillId="51" borderId="80" xfId="36" applyNumberFormat="1" applyFont="1" applyFill="1" applyBorder="1" applyAlignment="1">
      <alignment horizontal="center" vertical="center" wrapText="1"/>
    </xf>
    <xf numFmtId="9" fontId="70" fillId="52" borderId="65" xfId="36" applyNumberFormat="1" applyFont="1" applyFill="1" applyBorder="1" applyAlignment="1">
      <alignment horizontal="center" vertical="center" wrapText="1"/>
    </xf>
    <xf numFmtId="9" fontId="70" fillId="52" borderId="80" xfId="36" applyNumberFormat="1" applyFont="1" applyFill="1" applyBorder="1" applyAlignment="1">
      <alignment horizontal="center" vertical="center" wrapText="1"/>
    </xf>
    <xf numFmtId="9" fontId="70" fillId="51" borderId="65" xfId="36" applyNumberFormat="1" applyFont="1" applyFill="1" applyBorder="1" applyAlignment="1">
      <alignment horizontal="center" vertical="center" wrapText="1"/>
    </xf>
    <xf numFmtId="9" fontId="70" fillId="51" borderId="80" xfId="36" applyNumberFormat="1" applyFont="1" applyFill="1" applyBorder="1" applyAlignment="1">
      <alignment horizontal="center" vertical="center" wrapText="1"/>
    </xf>
    <xf numFmtId="165" fontId="69" fillId="53" borderId="65" xfId="36" applyNumberFormat="1" applyFont="1" applyFill="1" applyBorder="1" applyAlignment="1">
      <alignment horizontal="center" vertical="center" wrapText="1"/>
    </xf>
    <xf numFmtId="165" fontId="70" fillId="53" borderId="64" xfId="36" applyNumberFormat="1" applyFont="1" applyFill="1" applyBorder="1" applyAlignment="1">
      <alignment vertical="center" wrapText="1"/>
    </xf>
    <xf numFmtId="165" fontId="72" fillId="53" borderId="65" xfId="36" applyNumberFormat="1" applyFont="1" applyFill="1" applyBorder="1" applyAlignment="1">
      <alignment horizontal="center" vertical="center" wrapText="1"/>
    </xf>
    <xf numFmtId="165" fontId="74" fillId="53" borderId="64" xfId="36" applyNumberFormat="1" applyFont="1" applyFill="1" applyBorder="1" applyAlignment="1">
      <alignment vertical="center" wrapText="1"/>
    </xf>
    <xf numFmtId="165" fontId="74" fillId="53" borderId="83" xfId="36" applyNumberFormat="1" applyFont="1" applyFill="1" applyBorder="1" applyAlignment="1">
      <alignment vertical="center" wrapText="1"/>
    </xf>
    <xf numFmtId="165" fontId="74" fillId="53" borderId="83" xfId="36" applyNumberFormat="1" applyFont="1" applyFill="1" applyBorder="1" applyAlignment="1">
      <alignment horizontal="center" vertical="center" wrapText="1"/>
    </xf>
    <xf numFmtId="165" fontId="73" fillId="51" borderId="80" xfId="36" applyNumberFormat="1" applyFont="1" applyFill="1" applyBorder="1" applyAlignment="1">
      <alignment horizontal="center" vertical="center" wrapText="1"/>
    </xf>
    <xf numFmtId="165" fontId="73" fillId="51" borderId="80" xfId="36" applyNumberFormat="1" applyFont="1" applyFill="1" applyBorder="1" applyAlignment="1">
      <alignment horizontal="right" vertical="center" wrapText="1"/>
    </xf>
    <xf numFmtId="165" fontId="70" fillId="52" borderId="80" xfId="36" applyNumberFormat="1" applyFont="1" applyFill="1" applyBorder="1" applyAlignment="1">
      <alignment horizontal="right" vertical="center" wrapText="1"/>
    </xf>
    <xf numFmtId="164" fontId="70" fillId="51" borderId="80" xfId="36" applyNumberFormat="1" applyFont="1" applyFill="1" applyBorder="1" applyAlignment="1">
      <alignment horizontal="right" vertical="center" wrapText="1"/>
    </xf>
    <xf numFmtId="165" fontId="70" fillId="51" borderId="82" xfId="36" applyNumberFormat="1" applyFont="1" applyFill="1" applyBorder="1" applyAlignment="1">
      <alignment horizontal="right" vertical="center" wrapText="1"/>
    </xf>
    <xf numFmtId="9" fontId="73" fillId="52" borderId="80" xfId="36" applyNumberFormat="1" applyFont="1" applyFill="1" applyBorder="1" applyAlignment="1">
      <alignment horizontal="center" vertical="center" wrapText="1"/>
    </xf>
    <xf numFmtId="9" fontId="73" fillId="52" borderId="80" xfId="36" applyNumberFormat="1" applyFont="1" applyFill="1" applyBorder="1" applyAlignment="1">
      <alignment horizontal="right" vertical="center" wrapText="1"/>
    </xf>
    <xf numFmtId="9" fontId="73" fillId="51" borderId="80" xfId="36" applyNumberFormat="1" applyFont="1" applyFill="1" applyBorder="1" applyAlignment="1">
      <alignment horizontal="center" vertical="center" wrapText="1"/>
    </xf>
    <xf numFmtId="9" fontId="73" fillId="51" borderId="80" xfId="36" applyNumberFormat="1" applyFont="1" applyFill="1" applyBorder="1" applyAlignment="1">
      <alignment horizontal="right" vertical="center" wrapText="1"/>
    </xf>
    <xf numFmtId="165" fontId="70" fillId="51" borderId="80" xfId="36" applyNumberFormat="1" applyFont="1" applyFill="1" applyBorder="1" applyAlignment="1">
      <alignment horizontal="right" vertical="center" wrapText="1"/>
    </xf>
    <xf numFmtId="0" fontId="69" fillId="44" borderId="65" xfId="36" applyNumberFormat="1" applyFont="1" applyFill="1" applyBorder="1" applyAlignment="1">
      <alignment horizontal="center"/>
    </xf>
    <xf numFmtId="165" fontId="69" fillId="44" borderId="65" xfId="36" applyNumberFormat="1" applyFont="1" applyFill="1" applyBorder="1" applyAlignment="1">
      <alignment horizontal="center"/>
    </xf>
    <xf numFmtId="168" fontId="69" fillId="44" borderId="65" xfId="36" applyNumberFormat="1" applyFont="1" applyFill="1" applyBorder="1" applyAlignment="1">
      <alignment horizontal="center"/>
    </xf>
    <xf numFmtId="165" fontId="69" fillId="44" borderId="65" xfId="36" applyNumberFormat="1" applyFont="1" applyFill="1" applyBorder="1" applyAlignment="1">
      <alignment horizontal="center" wrapText="1"/>
    </xf>
    <xf numFmtId="0" fontId="69" fillId="48" borderId="65" xfId="36" applyNumberFormat="1" applyFont="1" applyFill="1" applyBorder="1" applyAlignment="1">
      <alignment horizontal="center"/>
    </xf>
    <xf numFmtId="165" fontId="69" fillId="48" borderId="65" xfId="36" applyNumberFormat="1" applyFont="1" applyFill="1" applyBorder="1" applyAlignment="1">
      <alignment horizontal="left"/>
    </xf>
    <xf numFmtId="165" fontId="70" fillId="48" borderId="65" xfId="36" applyNumberFormat="1" applyFont="1" applyFill="1" applyBorder="1" applyAlignment="1">
      <alignment horizontal="center"/>
    </xf>
    <xf numFmtId="164" fontId="70" fillId="48" borderId="65" xfId="36" applyNumberFormat="1" applyFont="1" applyFill="1" applyBorder="1"/>
    <xf numFmtId="168" fontId="69" fillId="48" borderId="65" xfId="36" applyNumberFormat="1" applyFont="1" applyFill="1" applyBorder="1"/>
    <xf numFmtId="164" fontId="69" fillId="49" borderId="65" xfId="36" applyNumberFormat="1" applyFont="1" applyFill="1" applyBorder="1" applyAlignment="1">
      <alignment horizontal="right"/>
    </xf>
    <xf numFmtId="165" fontId="75" fillId="39" borderId="65" xfId="36" applyNumberFormat="1" applyFont="1" applyFill="1" applyBorder="1" applyAlignment="1">
      <alignment horizontal="right"/>
    </xf>
    <xf numFmtId="9" fontId="70" fillId="39" borderId="65" xfId="36" applyNumberFormat="1" applyFont="1" applyFill="1" applyBorder="1" applyAlignment="1">
      <alignment horizontal="center"/>
    </xf>
    <xf numFmtId="164" fontId="70" fillId="39" borderId="65" xfId="36" applyNumberFormat="1" applyFont="1" applyFill="1" applyBorder="1"/>
    <xf numFmtId="168" fontId="75" fillId="39" borderId="65" xfId="36" applyNumberFormat="1" applyFont="1" applyFill="1" applyBorder="1" applyAlignment="1">
      <alignment horizontal="right"/>
    </xf>
    <xf numFmtId="164" fontId="75" fillId="39" borderId="65" xfId="36" applyNumberFormat="1" applyFont="1" applyFill="1" applyBorder="1" applyAlignment="1">
      <alignment horizontal="right"/>
    </xf>
    <xf numFmtId="165" fontId="71" fillId="39" borderId="65" xfId="36" applyNumberFormat="1" applyFont="1" applyFill="1" applyBorder="1" applyAlignment="1">
      <alignment horizontal="left"/>
    </xf>
    <xf numFmtId="10" fontId="70" fillId="39" borderId="77" xfId="36" applyNumberFormat="1" applyFont="1" applyFill="1" applyBorder="1" applyAlignment="1">
      <alignment horizontal="center" vertical="center"/>
    </xf>
    <xf numFmtId="10" fontId="70" fillId="39" borderId="65" xfId="36" applyNumberFormat="1" applyFont="1" applyFill="1" applyBorder="1" applyAlignment="1">
      <alignment horizontal="center"/>
    </xf>
    <xf numFmtId="168" fontId="71" fillId="39" borderId="65" xfId="36" applyNumberFormat="1" applyFont="1" applyFill="1" applyBorder="1" applyAlignment="1">
      <alignment horizontal="right"/>
    </xf>
    <xf numFmtId="164" fontId="71" fillId="39" borderId="65" xfId="36" applyNumberFormat="1" applyFont="1" applyFill="1" applyBorder="1" applyAlignment="1">
      <alignment horizontal="right" wrapText="1"/>
    </xf>
    <xf numFmtId="10" fontId="70" fillId="39" borderId="78" xfId="36" applyNumberFormat="1" applyFont="1" applyFill="1" applyBorder="1" applyAlignment="1">
      <alignment horizontal="center" vertical="center"/>
    </xf>
    <xf numFmtId="10" fontId="70" fillId="39" borderId="69" xfId="36" applyNumberFormat="1" applyFont="1" applyFill="1" applyBorder="1" applyAlignment="1">
      <alignment horizontal="center" vertical="center"/>
    </xf>
    <xf numFmtId="10" fontId="70" fillId="39" borderId="65" xfId="36" applyNumberFormat="1" applyFont="1" applyFill="1" applyBorder="1" applyAlignment="1">
      <alignment horizontal="center" vertical="center"/>
    </xf>
    <xf numFmtId="0" fontId="69" fillId="41" borderId="65" xfId="36" applyNumberFormat="1" applyFont="1" applyFill="1" applyBorder="1" applyAlignment="1">
      <alignment horizontal="center"/>
    </xf>
    <xf numFmtId="165" fontId="69" fillId="41" borderId="65" xfId="36" applyNumberFormat="1" applyFont="1" applyFill="1" applyBorder="1"/>
    <xf numFmtId="10" fontId="70" fillId="41" borderId="65" xfId="36" applyNumberFormat="1" applyFont="1" applyFill="1" applyBorder="1" applyAlignment="1">
      <alignment horizontal="center"/>
    </xf>
    <xf numFmtId="10" fontId="69" fillId="41" borderId="65" xfId="36" applyNumberFormat="1" applyFont="1" applyFill="1" applyBorder="1" applyAlignment="1">
      <alignment horizontal="center"/>
    </xf>
    <xf numFmtId="168" fontId="69" fillId="41" borderId="65" xfId="36" applyNumberFormat="1" applyFont="1" applyFill="1" applyBorder="1"/>
    <xf numFmtId="164" fontId="69" fillId="41" borderId="65" xfId="36" applyNumberFormat="1" applyFont="1" applyFill="1" applyBorder="1" applyAlignment="1">
      <alignment wrapText="1"/>
    </xf>
    <xf numFmtId="10" fontId="70" fillId="39" borderId="65" xfId="36" applyNumberFormat="1" applyFont="1" applyFill="1" applyBorder="1"/>
    <xf numFmtId="168" fontId="71" fillId="45" borderId="65" xfId="36" applyNumberFormat="1" applyFont="1" applyFill="1" applyBorder="1" applyAlignment="1">
      <alignment horizontal="right"/>
    </xf>
    <xf numFmtId="164" fontId="70" fillId="39" borderId="77" xfId="36" applyNumberFormat="1" applyFont="1" applyFill="1" applyBorder="1" applyAlignment="1">
      <alignment horizontal="center" vertical="center" wrapText="1"/>
    </xf>
    <xf numFmtId="10" fontId="70" fillId="39" borderId="64" xfId="36" applyNumberFormat="1" applyFont="1" applyFill="1" applyBorder="1"/>
    <xf numFmtId="164" fontId="70" fillId="39" borderId="78" xfId="36" applyNumberFormat="1" applyFont="1" applyFill="1" applyBorder="1" applyAlignment="1">
      <alignment horizontal="center" vertical="center" wrapText="1"/>
    </xf>
    <xf numFmtId="164" fontId="70" fillId="39" borderId="69" xfId="36" applyNumberFormat="1" applyFont="1" applyFill="1" applyBorder="1" applyAlignment="1">
      <alignment horizontal="center" vertical="center" wrapText="1"/>
    </xf>
    <xf numFmtId="164" fontId="70" fillId="39" borderId="65" xfId="36" applyNumberFormat="1" applyFont="1" applyFill="1" applyBorder="1" applyAlignment="1">
      <alignment vertical="center" wrapText="1"/>
    </xf>
    <xf numFmtId="164" fontId="70" fillId="39" borderId="65" xfId="36" applyNumberFormat="1" applyFont="1" applyFill="1" applyBorder="1" applyAlignment="1">
      <alignment wrapText="1"/>
    </xf>
    <xf numFmtId="0" fontId="69" fillId="50" borderId="65" xfId="36" applyNumberFormat="1" applyFont="1" applyFill="1" applyBorder="1" applyAlignment="1">
      <alignment horizontal="center"/>
    </xf>
    <xf numFmtId="165" fontId="69" fillId="50" borderId="65" xfId="36" applyNumberFormat="1" applyFont="1" applyFill="1" applyBorder="1"/>
    <xf numFmtId="9" fontId="69" fillId="50" borderId="65" xfId="36" applyNumberFormat="1" applyFont="1" applyFill="1" applyBorder="1" applyAlignment="1">
      <alignment horizontal="center"/>
    </xf>
    <xf numFmtId="169" fontId="69" fillId="50" borderId="65" xfId="36" applyNumberFormat="1" applyFont="1" applyFill="1" applyBorder="1" applyAlignment="1">
      <alignment horizontal="center"/>
    </xf>
    <xf numFmtId="168" fontId="69" fillId="50" borderId="65" xfId="36" applyNumberFormat="1" applyFont="1" applyFill="1" applyBorder="1"/>
    <xf numFmtId="164" fontId="69" fillId="50" borderId="65" xfId="36" applyNumberFormat="1" applyFont="1" applyFill="1" applyBorder="1" applyAlignment="1">
      <alignment wrapText="1"/>
    </xf>
    <xf numFmtId="165" fontId="70" fillId="39" borderId="65" xfId="36" applyNumberFormat="1" applyFont="1" applyFill="1" applyBorder="1" applyAlignment="1">
      <alignment horizontal="center"/>
    </xf>
    <xf numFmtId="10" fontId="69" fillId="39" borderId="65" xfId="36" applyNumberFormat="1" applyFont="1" applyFill="1" applyBorder="1"/>
    <xf numFmtId="168" fontId="69" fillId="39" borderId="65" xfId="36" applyNumberFormat="1" applyFont="1" applyFill="1" applyBorder="1"/>
    <xf numFmtId="165" fontId="71" fillId="39" borderId="65" xfId="36" applyNumberFormat="1" applyFont="1" applyFill="1" applyBorder="1" applyAlignment="1">
      <alignment horizontal="right"/>
    </xf>
    <xf numFmtId="168" fontId="70" fillId="39" borderId="65" xfId="36" applyNumberFormat="1" applyFont="1" applyFill="1" applyBorder="1"/>
    <xf numFmtId="9" fontId="70" fillId="39" borderId="65" xfId="36" applyNumberFormat="1" applyFont="1" applyFill="1" applyBorder="1"/>
    <xf numFmtId="165" fontId="70" fillId="39" borderId="65" xfId="36" applyNumberFormat="1" applyFont="1" applyFill="1" applyBorder="1" applyAlignment="1">
      <alignment horizontal="right"/>
    </xf>
    <xf numFmtId="0" fontId="69" fillId="44" borderId="65" xfId="36" applyNumberFormat="1" applyFont="1" applyFill="1" applyBorder="1" applyAlignment="1">
      <alignment horizontal="center" wrapText="1"/>
    </xf>
    <xf numFmtId="168" fontId="69" fillId="44" borderId="65" xfId="36" applyNumberFormat="1" applyFont="1" applyFill="1" applyBorder="1" applyAlignment="1">
      <alignment horizontal="center" wrapText="1"/>
    </xf>
    <xf numFmtId="0" fontId="69" fillId="48" borderId="65" xfId="36" applyNumberFormat="1" applyFont="1" applyFill="1" applyBorder="1" applyAlignment="1">
      <alignment horizontal="center" wrapText="1"/>
    </xf>
    <xf numFmtId="165" fontId="69" fillId="48" borderId="65" xfId="36" applyNumberFormat="1" applyFont="1" applyFill="1" applyBorder="1" applyAlignment="1">
      <alignment horizontal="left" wrapText="1"/>
    </xf>
    <xf numFmtId="165" fontId="70" fillId="48" borderId="65" xfId="36" applyNumberFormat="1" applyFont="1" applyFill="1" applyBorder="1" applyAlignment="1">
      <alignment horizontal="center" wrapText="1"/>
    </xf>
    <xf numFmtId="164" fontId="70" fillId="48" borderId="65" xfId="36" applyNumberFormat="1" applyFont="1" applyFill="1" applyBorder="1" applyAlignment="1">
      <alignment wrapText="1"/>
    </xf>
    <xf numFmtId="168" fontId="69" fillId="48" borderId="65" xfId="36" applyNumberFormat="1" applyFont="1" applyFill="1" applyBorder="1" applyAlignment="1">
      <alignment wrapText="1"/>
    </xf>
    <xf numFmtId="164" fontId="69" fillId="49" borderId="65" xfId="36" applyNumberFormat="1" applyFont="1" applyFill="1" applyBorder="1" applyAlignment="1">
      <alignment horizontal="right" wrapText="1"/>
    </xf>
    <xf numFmtId="165" fontId="75" fillId="39" borderId="65" xfId="36" applyNumberFormat="1" applyFont="1" applyFill="1" applyBorder="1" applyAlignment="1">
      <alignment horizontal="right" wrapText="1"/>
    </xf>
    <xf numFmtId="9" fontId="70" fillId="39" borderId="65" xfId="36" applyNumberFormat="1" applyFont="1" applyFill="1" applyBorder="1" applyAlignment="1">
      <alignment horizontal="center" wrapText="1"/>
    </xf>
    <xf numFmtId="168" fontId="75" fillId="39" borderId="65" xfId="36" applyNumberFormat="1" applyFont="1" applyFill="1" applyBorder="1" applyAlignment="1">
      <alignment horizontal="right" wrapText="1"/>
    </xf>
    <xf numFmtId="164" fontId="75" fillId="39" borderId="65" xfId="36" applyNumberFormat="1" applyFont="1" applyFill="1" applyBorder="1" applyAlignment="1">
      <alignment horizontal="right" wrapText="1"/>
    </xf>
    <xf numFmtId="165" fontId="71" fillId="39" borderId="65" xfId="36" applyNumberFormat="1" applyFont="1" applyFill="1" applyBorder="1" applyAlignment="1">
      <alignment horizontal="left" wrapText="1"/>
    </xf>
    <xf numFmtId="10" fontId="70" fillId="39" borderId="77" xfId="36" applyNumberFormat="1" applyFont="1" applyFill="1" applyBorder="1" applyAlignment="1">
      <alignment horizontal="center" vertical="center" wrapText="1"/>
    </xf>
    <xf numFmtId="10" fontId="70" fillId="39" borderId="65" xfId="36" applyNumberFormat="1" applyFont="1" applyFill="1" applyBorder="1" applyAlignment="1">
      <alignment horizontal="center" wrapText="1"/>
    </xf>
    <xf numFmtId="168" fontId="71" fillId="39" borderId="65" xfId="36" applyNumberFormat="1" applyFont="1" applyFill="1" applyBorder="1" applyAlignment="1">
      <alignment horizontal="right" wrapText="1"/>
    </xf>
    <xf numFmtId="10" fontId="70" fillId="39" borderId="78" xfId="36" applyNumberFormat="1" applyFont="1" applyFill="1" applyBorder="1" applyAlignment="1">
      <alignment horizontal="center" vertical="center" wrapText="1"/>
    </xf>
    <xf numFmtId="10" fontId="70" fillId="39" borderId="69" xfId="36" applyNumberFormat="1" applyFont="1" applyFill="1" applyBorder="1" applyAlignment="1">
      <alignment horizontal="center" vertical="center" wrapText="1"/>
    </xf>
    <xf numFmtId="10" fontId="70" fillId="39" borderId="65" xfId="36" applyNumberFormat="1" applyFont="1" applyFill="1" applyBorder="1" applyAlignment="1">
      <alignment horizontal="center" vertical="center" wrapText="1"/>
    </xf>
    <xf numFmtId="0" fontId="69" fillId="41" borderId="65" xfId="36" applyNumberFormat="1" applyFont="1" applyFill="1" applyBorder="1" applyAlignment="1">
      <alignment horizontal="center" wrapText="1"/>
    </xf>
    <xf numFmtId="165" fontId="69" fillId="41" borderId="65" xfId="36" applyNumberFormat="1" applyFont="1" applyFill="1" applyBorder="1" applyAlignment="1">
      <alignment wrapText="1"/>
    </xf>
    <xf numFmtId="10" fontId="70" fillId="41" borderId="65" xfId="36" applyNumberFormat="1" applyFont="1" applyFill="1" applyBorder="1" applyAlignment="1">
      <alignment horizontal="center" wrapText="1"/>
    </xf>
    <xf numFmtId="10" fontId="69" fillId="41" borderId="65" xfId="36" applyNumberFormat="1" applyFont="1" applyFill="1" applyBorder="1" applyAlignment="1">
      <alignment horizontal="center" wrapText="1"/>
    </xf>
    <xf numFmtId="168" fontId="69" fillId="41" borderId="65" xfId="36" applyNumberFormat="1" applyFont="1" applyFill="1" applyBorder="1" applyAlignment="1">
      <alignment wrapText="1"/>
    </xf>
    <xf numFmtId="10" fontId="70" fillId="39" borderId="65" xfId="36" applyNumberFormat="1" applyFont="1" applyFill="1" applyBorder="1" applyAlignment="1">
      <alignment wrapText="1"/>
    </xf>
    <xf numFmtId="168" fontId="71" fillId="45" borderId="65" xfId="36" applyNumberFormat="1" applyFont="1" applyFill="1" applyBorder="1" applyAlignment="1">
      <alignment horizontal="right" wrapText="1"/>
    </xf>
    <xf numFmtId="10" fontId="70" fillId="39" borderId="64" xfId="36" applyNumberFormat="1" applyFont="1" applyFill="1" applyBorder="1" applyAlignment="1">
      <alignment wrapText="1"/>
    </xf>
    <xf numFmtId="0" fontId="69" fillId="50" borderId="65" xfId="36" applyNumberFormat="1" applyFont="1" applyFill="1" applyBorder="1" applyAlignment="1">
      <alignment horizontal="center" wrapText="1"/>
    </xf>
    <xf numFmtId="165" fontId="69" fillId="50" borderId="65" xfId="36" applyNumberFormat="1" applyFont="1" applyFill="1" applyBorder="1" applyAlignment="1">
      <alignment wrapText="1"/>
    </xf>
    <xf numFmtId="9" fontId="69" fillId="50" borderId="65" xfId="36" applyNumberFormat="1" applyFont="1" applyFill="1" applyBorder="1" applyAlignment="1">
      <alignment horizontal="center" wrapText="1"/>
    </xf>
    <xf numFmtId="169" fontId="69" fillId="50" borderId="65" xfId="36" applyNumberFormat="1" applyFont="1" applyFill="1" applyBorder="1" applyAlignment="1">
      <alignment horizontal="center" wrapText="1"/>
    </xf>
    <xf numFmtId="168" fontId="69" fillId="50" borderId="65" xfId="36" applyNumberFormat="1" applyFont="1" applyFill="1" applyBorder="1" applyAlignment="1">
      <alignment wrapText="1"/>
    </xf>
    <xf numFmtId="165" fontId="70" fillId="39" borderId="65" xfId="36" applyNumberFormat="1" applyFont="1" applyFill="1" applyBorder="1" applyAlignment="1">
      <alignment horizontal="center" wrapText="1"/>
    </xf>
    <xf numFmtId="10" fontId="69" fillId="39" borderId="65" xfId="36" applyNumberFormat="1" applyFont="1" applyFill="1" applyBorder="1" applyAlignment="1">
      <alignment wrapText="1"/>
    </xf>
    <xf numFmtId="168" fontId="69" fillId="39" borderId="65" xfId="36" applyNumberFormat="1" applyFont="1" applyFill="1" applyBorder="1" applyAlignment="1">
      <alignment wrapText="1"/>
    </xf>
    <xf numFmtId="165" fontId="71" fillId="39" borderId="65" xfId="36" applyNumberFormat="1" applyFont="1" applyFill="1" applyBorder="1" applyAlignment="1">
      <alignment horizontal="right" wrapText="1"/>
    </xf>
    <xf numFmtId="168" fontId="70" fillId="39" borderId="65" xfId="36" applyNumberFormat="1" applyFont="1" applyFill="1" applyBorder="1" applyAlignment="1">
      <alignment wrapText="1"/>
    </xf>
    <xf numFmtId="9" fontId="70" fillId="39" borderId="65" xfId="36" applyNumberFormat="1" applyFont="1" applyFill="1" applyBorder="1" applyAlignment="1">
      <alignment wrapText="1"/>
    </xf>
    <xf numFmtId="165" fontId="70" fillId="39" borderId="65" xfId="36" applyNumberFormat="1" applyFont="1" applyFill="1" applyBorder="1" applyAlignment="1">
      <alignment horizontal="right" wrapText="1"/>
    </xf>
    <xf numFmtId="0" fontId="69" fillId="44" borderId="65" xfId="36" applyNumberFormat="1" applyFont="1" applyFill="1" applyBorder="1" applyAlignment="1">
      <alignment horizontal="center" vertical="center" wrapText="1"/>
    </xf>
    <xf numFmtId="165" fontId="69" fillId="44" borderId="65" xfId="36" applyNumberFormat="1" applyFont="1" applyFill="1" applyBorder="1" applyAlignment="1">
      <alignment horizontal="center" vertical="center" wrapText="1"/>
    </xf>
    <xf numFmtId="168" fontId="69" fillId="44" borderId="65" xfId="36" applyNumberFormat="1" applyFont="1" applyFill="1" applyBorder="1" applyAlignment="1">
      <alignment horizontal="center" vertical="center" wrapText="1"/>
    </xf>
    <xf numFmtId="0" fontId="69" fillId="48" borderId="65" xfId="36" applyNumberFormat="1" applyFont="1" applyFill="1" applyBorder="1" applyAlignment="1">
      <alignment horizontal="center" vertical="center" wrapText="1"/>
    </xf>
    <xf numFmtId="165" fontId="69" fillId="48" borderId="65" xfId="36" applyNumberFormat="1" applyFont="1" applyFill="1" applyBorder="1" applyAlignment="1">
      <alignment horizontal="left" vertical="center" wrapText="1"/>
    </xf>
    <xf numFmtId="165" fontId="70" fillId="48" borderId="65" xfId="36" applyNumberFormat="1" applyFont="1" applyFill="1" applyBorder="1" applyAlignment="1">
      <alignment horizontal="center" vertical="center" wrapText="1"/>
    </xf>
    <xf numFmtId="164" fontId="70" fillId="48" borderId="65" xfId="36" applyNumberFormat="1" applyFont="1" applyFill="1" applyBorder="1" applyAlignment="1">
      <alignment vertical="center" wrapText="1"/>
    </xf>
    <xf numFmtId="168" fontId="69" fillId="48" borderId="65" xfId="36" applyNumberFormat="1" applyFont="1" applyFill="1" applyBorder="1" applyAlignment="1">
      <alignment vertical="center" wrapText="1"/>
    </xf>
    <xf numFmtId="164" fontId="69" fillId="49" borderId="65" xfId="36" applyNumberFormat="1" applyFont="1" applyFill="1" applyBorder="1" applyAlignment="1">
      <alignment horizontal="right" vertical="center" wrapText="1"/>
    </xf>
    <xf numFmtId="165" fontId="75" fillId="39" borderId="65" xfId="36" applyNumberFormat="1" applyFont="1" applyFill="1" applyBorder="1" applyAlignment="1">
      <alignment horizontal="right" vertical="center" wrapText="1"/>
    </xf>
    <xf numFmtId="9" fontId="70" fillId="39" borderId="65" xfId="36" applyNumberFormat="1" applyFont="1" applyFill="1" applyBorder="1" applyAlignment="1">
      <alignment horizontal="center" vertical="center" wrapText="1"/>
    </xf>
    <xf numFmtId="168" fontId="75" fillId="39" borderId="65" xfId="36" applyNumberFormat="1" applyFont="1" applyFill="1" applyBorder="1" applyAlignment="1">
      <alignment horizontal="right" vertical="center" wrapText="1"/>
    </xf>
    <xf numFmtId="164" fontId="75" fillId="39" borderId="65" xfId="36" applyNumberFormat="1" applyFont="1" applyFill="1" applyBorder="1" applyAlignment="1">
      <alignment horizontal="right" vertical="center" wrapText="1"/>
    </xf>
    <xf numFmtId="165" fontId="71" fillId="39" borderId="65" xfId="36" applyNumberFormat="1" applyFont="1" applyFill="1" applyBorder="1" applyAlignment="1">
      <alignment horizontal="left" vertical="center" wrapText="1"/>
    </xf>
    <xf numFmtId="168" fontId="71" fillId="39" borderId="65" xfId="36" applyNumberFormat="1" applyFont="1" applyFill="1" applyBorder="1" applyAlignment="1">
      <alignment horizontal="right" vertical="center" wrapText="1"/>
    </xf>
    <xf numFmtId="164" fontId="71" fillId="39" borderId="65" xfId="36" applyNumberFormat="1" applyFont="1" applyFill="1" applyBorder="1" applyAlignment="1">
      <alignment horizontal="right" vertical="center" wrapText="1"/>
    </xf>
    <xf numFmtId="0" fontId="69" fillId="41" borderId="65" xfId="36" applyNumberFormat="1" applyFont="1" applyFill="1" applyBorder="1" applyAlignment="1">
      <alignment horizontal="center" vertical="center" wrapText="1"/>
    </xf>
    <xf numFmtId="165" fontId="69" fillId="41" borderId="65" xfId="36" applyNumberFormat="1" applyFont="1" applyFill="1" applyBorder="1" applyAlignment="1">
      <alignment vertical="center" wrapText="1"/>
    </xf>
    <xf numFmtId="10" fontId="70" fillId="41" borderId="65" xfId="36" applyNumberFormat="1" applyFont="1" applyFill="1" applyBorder="1" applyAlignment="1">
      <alignment horizontal="center" vertical="center" wrapText="1"/>
    </xf>
    <xf numFmtId="10" fontId="69" fillId="41" borderId="65" xfId="36" applyNumberFormat="1" applyFont="1" applyFill="1" applyBorder="1" applyAlignment="1">
      <alignment horizontal="center" vertical="center" wrapText="1"/>
    </xf>
    <xf numFmtId="168" fontId="69" fillId="41" borderId="65" xfId="36" applyNumberFormat="1" applyFont="1" applyFill="1" applyBorder="1" applyAlignment="1">
      <alignment vertical="center" wrapText="1"/>
    </xf>
    <xf numFmtId="164" fontId="69" fillId="41" borderId="65" xfId="36" applyNumberFormat="1" applyFont="1" applyFill="1" applyBorder="1" applyAlignment="1">
      <alignment vertical="center" wrapText="1"/>
    </xf>
    <xf numFmtId="10" fontId="70" fillId="39" borderId="65" xfId="36" applyNumberFormat="1" applyFont="1" applyFill="1" applyBorder="1" applyAlignment="1">
      <alignment vertical="center" wrapText="1"/>
    </xf>
    <xf numFmtId="168" fontId="71" fillId="45" borderId="65" xfId="36" applyNumberFormat="1" applyFont="1" applyFill="1" applyBorder="1" applyAlignment="1">
      <alignment horizontal="right" vertical="center" wrapText="1"/>
    </xf>
    <xf numFmtId="10" fontId="70" fillId="39" borderId="64" xfId="36" applyNumberFormat="1" applyFont="1" applyFill="1" applyBorder="1" applyAlignment="1">
      <alignment vertical="center" wrapText="1"/>
    </xf>
    <xf numFmtId="0" fontId="69" fillId="50" borderId="65" xfId="36" applyNumberFormat="1" applyFont="1" applyFill="1" applyBorder="1" applyAlignment="1">
      <alignment horizontal="center" vertical="center" wrapText="1"/>
    </xf>
    <xf numFmtId="165" fontId="69" fillId="50" borderId="65" xfId="36" applyNumberFormat="1" applyFont="1" applyFill="1" applyBorder="1" applyAlignment="1">
      <alignment vertical="center" wrapText="1"/>
    </xf>
    <xf numFmtId="9" fontId="69" fillId="50" borderId="65" xfId="36" applyNumberFormat="1" applyFont="1" applyFill="1" applyBorder="1" applyAlignment="1">
      <alignment horizontal="center" vertical="center" wrapText="1"/>
    </xf>
    <xf numFmtId="169" fontId="69" fillId="50" borderId="65" xfId="36" applyNumberFormat="1" applyFont="1" applyFill="1" applyBorder="1" applyAlignment="1">
      <alignment horizontal="center" vertical="center" wrapText="1"/>
    </xf>
    <xf numFmtId="168" fontId="69" fillId="50" borderId="65" xfId="36" applyNumberFormat="1" applyFont="1" applyFill="1" applyBorder="1" applyAlignment="1">
      <alignment vertical="center" wrapText="1"/>
    </xf>
    <xf numFmtId="164" fontId="69" fillId="50" borderId="65" xfId="36" applyNumberFormat="1" applyFont="1" applyFill="1" applyBorder="1" applyAlignment="1">
      <alignment vertical="center" wrapText="1"/>
    </xf>
    <xf numFmtId="165" fontId="70" fillId="39" borderId="65" xfId="36" applyNumberFormat="1" applyFont="1" applyFill="1" applyBorder="1" applyAlignment="1">
      <alignment horizontal="center" vertical="center" wrapText="1"/>
    </xf>
    <xf numFmtId="10" fontId="69" fillId="39" borderId="65" xfId="36" applyNumberFormat="1" applyFont="1" applyFill="1" applyBorder="1" applyAlignment="1">
      <alignment vertical="center" wrapText="1"/>
    </xf>
    <xf numFmtId="168" fontId="69" fillId="39" borderId="65" xfId="36" applyNumberFormat="1" applyFont="1" applyFill="1" applyBorder="1" applyAlignment="1">
      <alignment vertical="center" wrapText="1"/>
    </xf>
    <xf numFmtId="165" fontId="71" fillId="39" borderId="65" xfId="36" applyNumberFormat="1" applyFont="1" applyFill="1" applyBorder="1" applyAlignment="1">
      <alignment horizontal="right" vertical="center" wrapText="1"/>
    </xf>
    <xf numFmtId="168" fontId="70" fillId="39" borderId="65" xfId="36" applyNumberFormat="1" applyFont="1" applyFill="1" applyBorder="1" applyAlignment="1">
      <alignment vertical="center" wrapText="1"/>
    </xf>
    <xf numFmtId="9" fontId="70" fillId="39" borderId="65" xfId="36" applyNumberFormat="1" applyFont="1" applyFill="1" applyBorder="1" applyAlignment="1">
      <alignment vertical="center" wrapText="1"/>
    </xf>
    <xf numFmtId="165" fontId="70" fillId="39" borderId="65" xfId="36" applyNumberFormat="1" applyFont="1" applyFill="1" applyBorder="1" applyAlignment="1">
      <alignment horizontal="right" vertical="center" wrapText="1"/>
    </xf>
    <xf numFmtId="0" fontId="69" fillId="51" borderId="65" xfId="36" applyNumberFormat="1" applyFont="1" applyFill="1" applyBorder="1" applyAlignment="1">
      <alignment horizontal="center" vertical="center" wrapText="1"/>
    </xf>
    <xf numFmtId="165" fontId="69" fillId="51" borderId="65" xfId="36" applyNumberFormat="1" applyFont="1" applyFill="1" applyBorder="1" applyAlignment="1">
      <alignment horizontal="left" vertical="center" wrapText="1"/>
    </xf>
    <xf numFmtId="164" fontId="70" fillId="51" borderId="65" xfId="36" applyNumberFormat="1" applyFont="1" applyFill="1" applyBorder="1" applyAlignment="1">
      <alignment vertical="center" wrapText="1"/>
    </xf>
    <xf numFmtId="168" fontId="69" fillId="51" borderId="65" xfId="36" applyNumberFormat="1" applyFont="1" applyFill="1" applyBorder="1" applyAlignment="1">
      <alignment vertical="center" wrapText="1"/>
    </xf>
    <xf numFmtId="164" fontId="69" fillId="51" borderId="65" xfId="36" applyNumberFormat="1" applyFont="1" applyFill="1" applyBorder="1" applyAlignment="1">
      <alignment horizontal="right" vertical="center" wrapText="1"/>
    </xf>
    <xf numFmtId="0" fontId="69" fillId="51" borderId="80" xfId="36" applyNumberFormat="1" applyFont="1" applyFill="1" applyBorder="1" applyAlignment="1">
      <alignment horizontal="center" vertical="center" wrapText="1"/>
    </xf>
    <xf numFmtId="165" fontId="69" fillId="51" borderId="80" xfId="36" applyNumberFormat="1" applyFont="1" applyFill="1" applyBorder="1" applyAlignment="1">
      <alignment horizontal="left" vertical="center" wrapText="1"/>
    </xf>
    <xf numFmtId="164" fontId="70" fillId="51" borderId="80" xfId="36" applyNumberFormat="1" applyFont="1" applyFill="1" applyBorder="1" applyAlignment="1">
      <alignment vertical="center" wrapText="1"/>
    </xf>
    <xf numFmtId="168" fontId="69" fillId="51" borderId="80" xfId="36" applyNumberFormat="1" applyFont="1" applyFill="1" applyBorder="1" applyAlignment="1">
      <alignment vertical="center" wrapText="1"/>
    </xf>
    <xf numFmtId="164" fontId="69" fillId="51" borderId="80" xfId="36" applyNumberFormat="1" applyFont="1" applyFill="1" applyBorder="1" applyAlignment="1">
      <alignment horizontal="right" vertical="center" wrapText="1"/>
    </xf>
    <xf numFmtId="165" fontId="75" fillId="52" borderId="65" xfId="36" applyNumberFormat="1" applyFont="1" applyFill="1" applyBorder="1" applyAlignment="1">
      <alignment horizontal="right" vertical="center" wrapText="1"/>
    </xf>
    <xf numFmtId="164" fontId="70" fillId="52" borderId="65" xfId="36" applyNumberFormat="1" applyFont="1" applyFill="1" applyBorder="1" applyAlignment="1">
      <alignment vertical="center" wrapText="1"/>
    </xf>
    <xf numFmtId="168" fontId="75" fillId="52" borderId="65" xfId="36" applyNumberFormat="1" applyFont="1" applyFill="1" applyBorder="1" applyAlignment="1">
      <alignment horizontal="right" vertical="center" wrapText="1"/>
    </xf>
    <xf numFmtId="164" fontId="75" fillId="52" borderId="65" xfId="36" applyNumberFormat="1" applyFont="1" applyFill="1" applyBorder="1" applyAlignment="1">
      <alignment horizontal="right" vertical="center" wrapText="1"/>
    </xf>
    <xf numFmtId="164" fontId="70" fillId="52" borderId="64" xfId="36" applyNumberFormat="1" applyFont="1" applyFill="1" applyBorder="1" applyAlignment="1">
      <alignment vertical="center" wrapText="1"/>
    </xf>
    <xf numFmtId="165" fontId="75" fillId="52" borderId="80" xfId="36" applyNumberFormat="1" applyFont="1" applyFill="1" applyBorder="1" applyAlignment="1">
      <alignment horizontal="right" vertical="center" wrapText="1"/>
    </xf>
    <xf numFmtId="164" fontId="70" fillId="52" borderId="80" xfId="36" applyNumberFormat="1" applyFont="1" applyFill="1" applyBorder="1" applyAlignment="1">
      <alignment vertical="center" wrapText="1"/>
    </xf>
    <xf numFmtId="168" fontId="75" fillId="52" borderId="80" xfId="36" applyNumberFormat="1" applyFont="1" applyFill="1" applyBorder="1" applyAlignment="1">
      <alignment horizontal="right" vertical="center" wrapText="1"/>
    </xf>
    <xf numFmtId="164" fontId="75" fillId="52" borderId="80" xfId="36" applyNumberFormat="1" applyFont="1" applyFill="1" applyBorder="1" applyAlignment="1">
      <alignment horizontal="right" vertical="center" wrapText="1"/>
    </xf>
    <xf numFmtId="164" fontId="70" fillId="52" borderId="82" xfId="36" applyNumberFormat="1" applyFont="1" applyFill="1" applyBorder="1" applyAlignment="1">
      <alignment vertical="center" wrapText="1"/>
    </xf>
    <xf numFmtId="165" fontId="71" fillId="51" borderId="65" xfId="36" applyNumberFormat="1" applyFont="1" applyFill="1" applyBorder="1" applyAlignment="1">
      <alignment horizontal="left" vertical="center" wrapText="1"/>
    </xf>
    <xf numFmtId="10" fontId="70" fillId="51" borderId="77" xfId="36" applyNumberFormat="1" applyFont="1" applyFill="1" applyBorder="1" applyAlignment="1">
      <alignment horizontal="center" vertical="center" wrapText="1"/>
    </xf>
    <xf numFmtId="10" fontId="70" fillId="51" borderId="65" xfId="36" applyNumberFormat="1" applyFont="1" applyFill="1" applyBorder="1" applyAlignment="1">
      <alignment horizontal="center" vertical="center" wrapText="1"/>
    </xf>
    <xf numFmtId="168" fontId="71" fillId="51" borderId="65" xfId="36" applyNumberFormat="1" applyFont="1" applyFill="1" applyBorder="1" applyAlignment="1">
      <alignment horizontal="right" vertical="center" wrapText="1"/>
    </xf>
    <xf numFmtId="164" fontId="71" fillId="51" borderId="65" xfId="36" applyNumberFormat="1" applyFont="1" applyFill="1" applyBorder="1" applyAlignment="1">
      <alignment horizontal="right" vertical="center" wrapText="1"/>
    </xf>
    <xf numFmtId="165" fontId="71" fillId="51" borderId="80" xfId="36" applyNumberFormat="1" applyFont="1" applyFill="1" applyBorder="1" applyAlignment="1">
      <alignment horizontal="left" vertical="center" wrapText="1"/>
    </xf>
    <xf numFmtId="10" fontId="70" fillId="51" borderId="80" xfId="36" applyNumberFormat="1" applyFont="1" applyFill="1" applyBorder="1" applyAlignment="1">
      <alignment horizontal="center" vertical="center" wrapText="1"/>
    </xf>
    <xf numFmtId="168" fontId="71" fillId="51" borderId="80" xfId="36" applyNumberFormat="1" applyFont="1" applyFill="1" applyBorder="1" applyAlignment="1">
      <alignment horizontal="right" vertical="center" wrapText="1"/>
    </xf>
    <xf numFmtId="164" fontId="71" fillId="51" borderId="80" xfId="36" applyNumberFormat="1" applyFont="1" applyFill="1" applyBorder="1" applyAlignment="1">
      <alignment horizontal="right" vertical="center" wrapText="1"/>
    </xf>
    <xf numFmtId="165" fontId="71" fillId="52" borderId="65" xfId="36" applyNumberFormat="1" applyFont="1" applyFill="1" applyBorder="1" applyAlignment="1">
      <alignment horizontal="left" vertical="center" wrapText="1"/>
    </xf>
    <xf numFmtId="10" fontId="70" fillId="52" borderId="78" xfId="36" applyNumberFormat="1" applyFont="1" applyFill="1" applyBorder="1" applyAlignment="1">
      <alignment horizontal="center" vertical="center" wrapText="1"/>
    </xf>
    <xf numFmtId="10" fontId="70" fillId="52" borderId="65" xfId="36" applyNumberFormat="1" applyFont="1" applyFill="1" applyBorder="1" applyAlignment="1">
      <alignment horizontal="center" vertical="center" wrapText="1"/>
    </xf>
    <xf numFmtId="168" fontId="71" fillId="52" borderId="65" xfId="36" applyNumberFormat="1" applyFont="1" applyFill="1" applyBorder="1" applyAlignment="1">
      <alignment horizontal="right" vertical="center" wrapText="1"/>
    </xf>
    <xf numFmtId="164" fontId="71" fillId="52" borderId="65" xfId="36" applyNumberFormat="1" applyFont="1" applyFill="1" applyBorder="1" applyAlignment="1">
      <alignment horizontal="right" vertical="center" wrapText="1"/>
    </xf>
    <xf numFmtId="165" fontId="71" fillId="52" borderId="80" xfId="36" applyNumberFormat="1" applyFont="1" applyFill="1" applyBorder="1" applyAlignment="1">
      <alignment horizontal="left" vertical="center" wrapText="1"/>
    </xf>
    <xf numFmtId="10" fontId="70" fillId="52" borderId="84" xfId="36" applyNumberFormat="1" applyFont="1" applyFill="1" applyBorder="1" applyAlignment="1">
      <alignment horizontal="center" vertical="center" wrapText="1"/>
    </xf>
    <xf numFmtId="10" fontId="70" fillId="52" borderId="80" xfId="36" applyNumberFormat="1" applyFont="1" applyFill="1" applyBorder="1" applyAlignment="1">
      <alignment horizontal="center" vertical="center" wrapText="1"/>
    </xf>
    <xf numFmtId="168" fontId="71" fillId="52" borderId="80" xfId="36" applyNumberFormat="1" applyFont="1" applyFill="1" applyBorder="1" applyAlignment="1">
      <alignment horizontal="right" vertical="center" wrapText="1"/>
    </xf>
    <xf numFmtId="164" fontId="71" fillId="52" borderId="80" xfId="36" applyNumberFormat="1" applyFont="1" applyFill="1" applyBorder="1" applyAlignment="1">
      <alignment horizontal="right" vertical="center" wrapText="1"/>
    </xf>
    <xf numFmtId="10" fontId="70" fillId="51" borderId="78" xfId="36" applyNumberFormat="1" applyFont="1" applyFill="1" applyBorder="1" applyAlignment="1">
      <alignment horizontal="center" vertical="center" wrapText="1"/>
    </xf>
    <xf numFmtId="10" fontId="70" fillId="51" borderId="84" xfId="36" applyNumberFormat="1" applyFont="1" applyFill="1" applyBorder="1" applyAlignment="1">
      <alignment horizontal="center" vertical="center" wrapText="1"/>
    </xf>
    <xf numFmtId="10" fontId="70" fillId="51" borderId="69" xfId="36" applyNumberFormat="1" applyFont="1" applyFill="1" applyBorder="1" applyAlignment="1">
      <alignment horizontal="center" vertical="center" wrapText="1"/>
    </xf>
    <xf numFmtId="10" fontId="70" fillId="52" borderId="77" xfId="36" applyNumberFormat="1" applyFont="1" applyFill="1" applyBorder="1" applyAlignment="1">
      <alignment horizontal="center" vertical="center" wrapText="1"/>
    </xf>
    <xf numFmtId="10" fontId="70" fillId="52" borderId="69" xfId="36" applyNumberFormat="1" applyFont="1" applyFill="1" applyBorder="1" applyAlignment="1">
      <alignment horizontal="center" vertical="center" wrapText="1"/>
    </xf>
    <xf numFmtId="165" fontId="69" fillId="51" borderId="65" xfId="36" applyNumberFormat="1" applyFont="1" applyFill="1" applyBorder="1" applyAlignment="1">
      <alignment vertical="center" wrapText="1"/>
    </xf>
    <xf numFmtId="10" fontId="69" fillId="51" borderId="65" xfId="36" applyNumberFormat="1" applyFont="1" applyFill="1" applyBorder="1" applyAlignment="1">
      <alignment horizontal="center" vertical="center" wrapText="1"/>
    </xf>
    <xf numFmtId="164" fontId="69" fillId="51" borderId="65" xfId="36" applyNumberFormat="1" applyFont="1" applyFill="1" applyBorder="1" applyAlignment="1">
      <alignment vertical="center" wrapText="1"/>
    </xf>
    <xf numFmtId="165" fontId="69" fillId="51" borderId="80" xfId="36" applyNumberFormat="1" applyFont="1" applyFill="1" applyBorder="1" applyAlignment="1">
      <alignment vertical="center" wrapText="1"/>
    </xf>
    <xf numFmtId="10" fontId="69" fillId="51" borderId="80" xfId="36" applyNumberFormat="1" applyFont="1" applyFill="1" applyBorder="1" applyAlignment="1">
      <alignment horizontal="center" vertical="center" wrapText="1"/>
    </xf>
    <xf numFmtId="164" fontId="69" fillId="51" borderId="80" xfId="36" applyNumberFormat="1" applyFont="1" applyFill="1" applyBorder="1" applyAlignment="1">
      <alignment vertical="center" wrapText="1"/>
    </xf>
    <xf numFmtId="10" fontId="70" fillId="52" borderId="65" xfId="36" applyNumberFormat="1" applyFont="1" applyFill="1" applyBorder="1" applyAlignment="1">
      <alignment vertical="center" wrapText="1"/>
    </xf>
    <xf numFmtId="10" fontId="70" fillId="52" borderId="80" xfId="36" applyNumberFormat="1" applyFont="1" applyFill="1" applyBorder="1" applyAlignment="1">
      <alignment vertical="center" wrapText="1"/>
    </xf>
    <xf numFmtId="164" fontId="70" fillId="51" borderId="77" xfId="36" applyNumberFormat="1" applyFont="1" applyFill="1" applyBorder="1" applyAlignment="1">
      <alignment horizontal="center" vertical="center" wrapText="1"/>
    </xf>
    <xf numFmtId="10" fontId="70" fillId="51" borderId="64" xfId="36" applyNumberFormat="1" applyFont="1" applyFill="1" applyBorder="1" applyAlignment="1">
      <alignment vertical="center" wrapText="1"/>
    </xf>
    <xf numFmtId="10" fontId="70" fillId="51" borderId="82" xfId="36" applyNumberFormat="1" applyFont="1" applyFill="1" applyBorder="1" applyAlignment="1">
      <alignment vertical="center" wrapText="1"/>
    </xf>
    <xf numFmtId="164" fontId="70" fillId="52" borderId="78" xfId="36" applyNumberFormat="1" applyFont="1" applyFill="1" applyBorder="1" applyAlignment="1">
      <alignment horizontal="center" vertical="center" wrapText="1"/>
    </xf>
    <xf numFmtId="164" fontId="70" fillId="52" borderId="84" xfId="36" applyNumberFormat="1" applyFont="1" applyFill="1" applyBorder="1" applyAlignment="1">
      <alignment horizontal="center" vertical="center" wrapText="1"/>
    </xf>
    <xf numFmtId="164" fontId="70" fillId="51" borderId="78" xfId="36" applyNumberFormat="1" applyFont="1" applyFill="1" applyBorder="1" applyAlignment="1">
      <alignment horizontal="center" vertical="center" wrapText="1"/>
    </xf>
    <xf numFmtId="164" fontId="70" fillId="51" borderId="84" xfId="36" applyNumberFormat="1" applyFont="1" applyFill="1" applyBorder="1" applyAlignment="1">
      <alignment horizontal="center" vertical="center" wrapText="1"/>
    </xf>
    <xf numFmtId="164" fontId="70" fillId="51" borderId="69" xfId="36" applyNumberFormat="1" applyFont="1" applyFill="1" applyBorder="1" applyAlignment="1">
      <alignment horizontal="center" vertical="center" wrapText="1"/>
    </xf>
    <xf numFmtId="164" fontId="70" fillId="52" borderId="77" xfId="36" applyNumberFormat="1" applyFont="1" applyFill="1" applyBorder="1" applyAlignment="1">
      <alignment horizontal="center" vertical="center" wrapText="1"/>
    </xf>
    <xf numFmtId="164" fontId="70" fillId="52" borderId="80" xfId="36" applyNumberFormat="1" applyFont="1" applyFill="1" applyBorder="1" applyAlignment="1">
      <alignment horizontal="center" vertical="center" wrapText="1"/>
    </xf>
    <xf numFmtId="164" fontId="70" fillId="52" borderId="69" xfId="36" applyNumberFormat="1" applyFont="1" applyFill="1" applyBorder="1" applyAlignment="1">
      <alignment horizontal="center" vertical="center" wrapText="1"/>
    </xf>
    <xf numFmtId="0" fontId="69" fillId="52" borderId="65" xfId="36" applyNumberFormat="1" applyFont="1" applyFill="1" applyBorder="1" applyAlignment="1">
      <alignment horizontal="center" vertical="center" wrapText="1"/>
    </xf>
    <xf numFmtId="165" fontId="69" fillId="52" borderId="65" xfId="36" applyNumberFormat="1" applyFont="1" applyFill="1" applyBorder="1" applyAlignment="1">
      <alignment vertical="center" wrapText="1"/>
    </xf>
    <xf numFmtId="9" fontId="69" fillId="52" borderId="65" xfId="36" applyNumberFormat="1" applyFont="1" applyFill="1" applyBorder="1" applyAlignment="1">
      <alignment horizontal="center" vertical="center" wrapText="1"/>
    </xf>
    <xf numFmtId="169" fontId="69" fillId="52" borderId="65" xfId="36" applyNumberFormat="1" applyFont="1" applyFill="1" applyBorder="1" applyAlignment="1">
      <alignment horizontal="center" vertical="center" wrapText="1"/>
    </xf>
    <xf numFmtId="168" fontId="69" fillId="52" borderId="65" xfId="36" applyNumberFormat="1" applyFont="1" applyFill="1" applyBorder="1" applyAlignment="1">
      <alignment vertical="center" wrapText="1"/>
    </xf>
    <xf numFmtId="164" fontId="69" fillId="52" borderId="65" xfId="36" applyNumberFormat="1" applyFont="1" applyFill="1" applyBorder="1" applyAlignment="1">
      <alignment vertical="center" wrapText="1"/>
    </xf>
    <xf numFmtId="0" fontId="69" fillId="52" borderId="80" xfId="36" applyNumberFormat="1" applyFont="1" applyFill="1" applyBorder="1" applyAlignment="1">
      <alignment horizontal="center" vertical="center" wrapText="1"/>
    </xf>
    <xf numFmtId="165" fontId="69" fillId="52" borderId="80" xfId="36" applyNumberFormat="1" applyFont="1" applyFill="1" applyBorder="1" applyAlignment="1">
      <alignment vertical="center" wrapText="1"/>
    </xf>
    <xf numFmtId="9" fontId="69" fillId="52" borderId="80" xfId="36" applyNumberFormat="1" applyFont="1" applyFill="1" applyBorder="1" applyAlignment="1">
      <alignment horizontal="center" vertical="center" wrapText="1"/>
    </xf>
    <xf numFmtId="169" fontId="69" fillId="52" borderId="80" xfId="36" applyNumberFormat="1" applyFont="1" applyFill="1" applyBorder="1" applyAlignment="1">
      <alignment horizontal="center" vertical="center" wrapText="1"/>
    </xf>
    <xf numFmtId="168" fontId="69" fillId="52" borderId="80" xfId="36" applyNumberFormat="1" applyFont="1" applyFill="1" applyBorder="1" applyAlignment="1">
      <alignment vertical="center" wrapText="1"/>
    </xf>
    <xf numFmtId="164" fontId="69" fillId="52" borderId="80" xfId="36" applyNumberFormat="1" applyFont="1" applyFill="1" applyBorder="1" applyAlignment="1">
      <alignment vertical="center" wrapText="1"/>
    </xf>
    <xf numFmtId="165" fontId="75" fillId="51" borderId="65" xfId="36" applyNumberFormat="1" applyFont="1" applyFill="1" applyBorder="1" applyAlignment="1">
      <alignment horizontal="right" vertical="center" wrapText="1"/>
    </xf>
    <xf numFmtId="10" fontId="69" fillId="51" borderId="65" xfId="36" applyNumberFormat="1" applyFont="1" applyFill="1" applyBorder="1" applyAlignment="1">
      <alignment vertical="center" wrapText="1"/>
    </xf>
    <xf numFmtId="165" fontId="75" fillId="51" borderId="80" xfId="36" applyNumberFormat="1" applyFont="1" applyFill="1" applyBorder="1" applyAlignment="1">
      <alignment horizontal="right" vertical="center" wrapText="1"/>
    </xf>
    <xf numFmtId="10" fontId="69" fillId="51" borderId="80" xfId="36" applyNumberFormat="1" applyFont="1" applyFill="1" applyBorder="1" applyAlignment="1">
      <alignment vertical="center" wrapText="1"/>
    </xf>
    <xf numFmtId="165" fontId="71" fillId="52" borderId="65" xfId="36" applyNumberFormat="1" applyFont="1" applyFill="1" applyBorder="1" applyAlignment="1">
      <alignment horizontal="right" vertical="center" wrapText="1"/>
    </xf>
    <xf numFmtId="168" fontId="70" fillId="52" borderId="65" xfId="36" applyNumberFormat="1" applyFont="1" applyFill="1" applyBorder="1" applyAlignment="1">
      <alignment vertical="center" wrapText="1"/>
    </xf>
    <xf numFmtId="165" fontId="71" fillId="52" borderId="80" xfId="36" applyNumberFormat="1" applyFont="1" applyFill="1" applyBorder="1" applyAlignment="1">
      <alignment horizontal="right" vertical="center" wrapText="1"/>
    </xf>
    <xf numFmtId="168" fontId="70" fillId="52" borderId="80" xfId="36" applyNumberFormat="1" applyFont="1" applyFill="1" applyBorder="1" applyAlignment="1">
      <alignment vertical="center" wrapText="1"/>
    </xf>
    <xf numFmtId="165" fontId="71" fillId="51" borderId="65" xfId="36" applyNumberFormat="1" applyFont="1" applyFill="1" applyBorder="1" applyAlignment="1">
      <alignment horizontal="right" vertical="center" wrapText="1"/>
    </xf>
    <xf numFmtId="168" fontId="70" fillId="51" borderId="65" xfId="36" applyNumberFormat="1" applyFont="1" applyFill="1" applyBorder="1" applyAlignment="1">
      <alignment vertical="center" wrapText="1"/>
    </xf>
    <xf numFmtId="165" fontId="71" fillId="51" borderId="80" xfId="36" applyNumberFormat="1" applyFont="1" applyFill="1" applyBorder="1" applyAlignment="1">
      <alignment horizontal="right" vertical="center" wrapText="1"/>
    </xf>
    <xf numFmtId="168" fontId="70" fillId="51" borderId="80" xfId="36" applyNumberFormat="1" applyFont="1" applyFill="1" applyBorder="1" applyAlignment="1">
      <alignment vertical="center" wrapText="1"/>
    </xf>
    <xf numFmtId="9" fontId="70" fillId="51" borderId="65" xfId="36" applyNumberFormat="1" applyFont="1" applyFill="1" applyBorder="1" applyAlignment="1">
      <alignment vertical="center" wrapText="1"/>
    </xf>
    <xf numFmtId="9" fontId="70" fillId="51" borderId="80" xfId="36" applyNumberFormat="1" applyFont="1" applyFill="1" applyBorder="1" applyAlignment="1">
      <alignment vertical="center" wrapText="1"/>
    </xf>
    <xf numFmtId="165" fontId="70" fillId="51" borderId="65" xfId="36" applyNumberFormat="1" applyFont="1" applyFill="1" applyBorder="1" applyAlignment="1">
      <alignment horizontal="right" vertical="center" wrapText="1"/>
    </xf>
    <xf numFmtId="168" fontId="69" fillId="53" borderId="65" xfId="36" applyNumberFormat="1" applyFont="1" applyFill="1" applyBorder="1" applyAlignment="1">
      <alignment horizontal="center" vertical="center" wrapText="1"/>
    </xf>
    <xf numFmtId="168" fontId="72" fillId="53" borderId="65" xfId="36" applyNumberFormat="1" applyFont="1" applyFill="1" applyBorder="1" applyAlignment="1">
      <alignment horizontal="center" vertical="center" wrapText="1"/>
    </xf>
    <xf numFmtId="168" fontId="72" fillId="53" borderId="81" xfId="36" applyNumberFormat="1" applyFont="1" applyFill="1" applyBorder="1" applyAlignment="1">
      <alignment horizontal="center" vertical="center" wrapText="1"/>
    </xf>
    <xf numFmtId="0" fontId="76" fillId="51" borderId="80" xfId="36" applyNumberFormat="1" applyFont="1" applyFill="1" applyBorder="1" applyAlignment="1">
      <alignment horizontal="center" vertical="center" wrapText="1"/>
    </xf>
    <xf numFmtId="0" fontId="76" fillId="51" borderId="80" xfId="36" applyNumberFormat="1" applyFont="1" applyFill="1" applyBorder="1" applyAlignment="1">
      <alignment horizontal="right" vertical="center" wrapText="1"/>
    </xf>
    <xf numFmtId="168" fontId="69" fillId="51" borderId="80" xfId="36" applyNumberFormat="1" applyFont="1" applyFill="1" applyBorder="1" applyAlignment="1">
      <alignment horizontal="right" vertical="center" wrapText="1"/>
    </xf>
    <xf numFmtId="164" fontId="70" fillId="52" borderId="82" xfId="36" applyNumberFormat="1" applyFont="1" applyFill="1" applyBorder="1" applyAlignment="1">
      <alignment horizontal="right" vertical="center" wrapText="1"/>
    </xf>
    <xf numFmtId="165" fontId="77" fillId="51" borderId="80" xfId="36" applyNumberFormat="1" applyFont="1" applyFill="1" applyBorder="1" applyAlignment="1">
      <alignment horizontal="left" vertical="center" wrapText="1"/>
    </xf>
    <xf numFmtId="165" fontId="77" fillId="51" borderId="80" xfId="36" applyNumberFormat="1" applyFont="1" applyFill="1" applyBorder="1" applyAlignment="1">
      <alignment horizontal="right" vertical="center" wrapText="1"/>
    </xf>
    <xf numFmtId="10" fontId="70" fillId="51" borderId="80" xfId="36" applyNumberFormat="1" applyFont="1" applyFill="1" applyBorder="1" applyAlignment="1">
      <alignment horizontal="right" vertical="center" wrapText="1"/>
    </xf>
    <xf numFmtId="168" fontId="77" fillId="51" borderId="80" xfId="36" applyNumberFormat="1" applyFont="1" applyFill="1" applyBorder="1" applyAlignment="1">
      <alignment horizontal="right" vertical="center" wrapText="1"/>
    </xf>
    <xf numFmtId="165" fontId="77" fillId="52" borderId="80" xfId="36" applyNumberFormat="1" applyFont="1" applyFill="1" applyBorder="1" applyAlignment="1">
      <alignment horizontal="left" vertical="center" wrapText="1"/>
    </xf>
    <xf numFmtId="165" fontId="77" fillId="52" borderId="80" xfId="36" applyNumberFormat="1" applyFont="1" applyFill="1" applyBorder="1" applyAlignment="1">
      <alignment horizontal="right" vertical="center" wrapText="1"/>
    </xf>
    <xf numFmtId="10" fontId="70" fillId="52" borderId="80" xfId="36" applyNumberFormat="1" applyFont="1" applyFill="1" applyBorder="1" applyAlignment="1">
      <alignment horizontal="right" vertical="center" wrapText="1"/>
    </xf>
    <xf numFmtId="168" fontId="77" fillId="52" borderId="80" xfId="36" applyNumberFormat="1" applyFont="1" applyFill="1" applyBorder="1" applyAlignment="1">
      <alignment horizontal="right" vertical="center" wrapText="1"/>
    </xf>
    <xf numFmtId="10" fontId="70" fillId="51" borderId="82" xfId="36" applyNumberFormat="1" applyFont="1" applyFill="1" applyBorder="1" applyAlignment="1">
      <alignment horizontal="right" vertical="center" wrapText="1"/>
    </xf>
    <xf numFmtId="164" fontId="70" fillId="52" borderId="80" xfId="36" applyNumberFormat="1" applyFont="1" applyFill="1" applyBorder="1" applyAlignment="1">
      <alignment horizontal="right" vertical="center" wrapText="1"/>
    </xf>
    <xf numFmtId="0" fontId="76" fillId="52" borderId="80" xfId="36" applyNumberFormat="1" applyFont="1" applyFill="1" applyBorder="1" applyAlignment="1">
      <alignment horizontal="center" vertical="center" wrapText="1"/>
    </xf>
    <xf numFmtId="0" fontId="76" fillId="52" borderId="80" xfId="36" applyNumberFormat="1" applyFont="1" applyFill="1" applyBorder="1" applyAlignment="1">
      <alignment horizontal="right" vertical="center" wrapText="1"/>
    </xf>
    <xf numFmtId="10" fontId="69" fillId="51" borderId="80" xfId="36" applyNumberFormat="1" applyFont="1" applyFill="1" applyBorder="1" applyAlignment="1">
      <alignment horizontal="right" vertical="center" wrapText="1"/>
    </xf>
    <xf numFmtId="9" fontId="73" fillId="51" borderId="80" xfId="36" applyNumberFormat="1" applyFont="1" applyFill="1" applyBorder="1" applyAlignment="1">
      <alignment vertical="center" wrapText="1"/>
    </xf>
    <xf numFmtId="168" fontId="70" fillId="51" borderId="80" xfId="36" applyNumberFormat="1" applyFont="1" applyFill="1" applyBorder="1" applyAlignment="1">
      <alignment horizontal="right" vertical="center" wrapText="1"/>
    </xf>
    <xf numFmtId="0" fontId="69" fillId="39" borderId="65" xfId="36" applyNumberFormat="1" applyFont="1" applyFill="1" applyBorder="1" applyAlignment="1">
      <alignment horizontal="center" vertical="center"/>
    </xf>
    <xf numFmtId="0" fontId="71" fillId="39" borderId="64" xfId="36" applyNumberFormat="1" applyFont="1" applyFill="1" applyBorder="1"/>
    <xf numFmtId="0" fontId="71" fillId="39" borderId="65" xfId="36" applyNumberFormat="1" applyFont="1" applyFill="1" applyBorder="1" applyAlignment="1">
      <alignment horizontal="center" vertical="center"/>
    </xf>
    <xf numFmtId="0" fontId="71" fillId="39" borderId="65" xfId="36" applyNumberFormat="1" applyFont="1" applyFill="1" applyBorder="1" applyAlignment="1">
      <alignment horizontal="left" vertical="center"/>
    </xf>
    <xf numFmtId="164" fontId="71" fillId="39" borderId="65" xfId="36" applyNumberFormat="1" applyFont="1" applyFill="1" applyBorder="1"/>
    <xf numFmtId="164" fontId="71" fillId="39" borderId="64" xfId="36" applyNumberFormat="1" applyFont="1" applyFill="1" applyBorder="1"/>
    <xf numFmtId="0" fontId="71" fillId="39" borderId="64" xfId="36" applyNumberFormat="1" applyFont="1" applyFill="1" applyBorder="1" applyAlignment="1">
      <alignment horizontal="center" vertical="center"/>
    </xf>
    <xf numFmtId="168" fontId="71" fillId="39" borderId="64" xfId="36" applyNumberFormat="1" applyFont="1" applyFill="1" applyBorder="1"/>
    <xf numFmtId="0" fontId="71" fillId="39" borderId="64" xfId="36" applyNumberFormat="1" applyFont="1" applyFill="1" applyBorder="1" applyAlignment="1">
      <alignment wrapText="1"/>
    </xf>
    <xf numFmtId="0" fontId="71" fillId="39" borderId="65" xfId="36" applyNumberFormat="1" applyFont="1" applyFill="1" applyBorder="1" applyAlignment="1">
      <alignment horizontal="center" vertical="center" wrapText="1"/>
    </xf>
    <xf numFmtId="0" fontId="71" fillId="39" borderId="65" xfId="36" applyNumberFormat="1" applyFont="1" applyFill="1" applyBorder="1" applyAlignment="1">
      <alignment horizontal="left" vertical="center" wrapText="1"/>
    </xf>
    <xf numFmtId="164" fontId="71" fillId="39" borderId="65" xfId="36" applyNumberFormat="1" applyFont="1" applyFill="1" applyBorder="1" applyAlignment="1">
      <alignment wrapText="1"/>
    </xf>
    <xf numFmtId="164" fontId="71" fillId="39" borderId="64" xfId="36" applyNumberFormat="1" applyFont="1" applyFill="1" applyBorder="1" applyAlignment="1">
      <alignment wrapText="1"/>
    </xf>
    <xf numFmtId="0" fontId="71" fillId="39" borderId="64" xfId="36" applyNumberFormat="1" applyFont="1" applyFill="1" applyBorder="1" applyAlignment="1">
      <alignment horizontal="center" vertical="center" wrapText="1"/>
    </xf>
    <xf numFmtId="168" fontId="71" fillId="39" borderId="64" xfId="36" applyNumberFormat="1" applyFont="1" applyFill="1" applyBorder="1" applyAlignment="1">
      <alignment wrapText="1"/>
    </xf>
    <xf numFmtId="0" fontId="71" fillId="39" borderId="64" xfId="36" applyNumberFormat="1" applyFont="1" applyFill="1" applyBorder="1" applyAlignment="1">
      <alignment vertical="center" wrapText="1"/>
    </xf>
    <xf numFmtId="164" fontId="71" fillId="39" borderId="65" xfId="36" applyNumberFormat="1" applyFont="1" applyFill="1" applyBorder="1" applyAlignment="1">
      <alignment vertical="center" wrapText="1"/>
    </xf>
    <xf numFmtId="164" fontId="71" fillId="39" borderId="64" xfId="36" applyNumberFormat="1" applyFont="1" applyFill="1" applyBorder="1" applyAlignment="1">
      <alignment vertical="center" wrapText="1"/>
    </xf>
    <xf numFmtId="168" fontId="71" fillId="39" borderId="64" xfId="36" applyNumberFormat="1" applyFont="1" applyFill="1" applyBorder="1" applyAlignment="1">
      <alignment vertical="center" wrapText="1"/>
    </xf>
    <xf numFmtId="0" fontId="71" fillId="51" borderId="65" xfId="36" applyNumberFormat="1" applyFont="1" applyFill="1" applyBorder="1" applyAlignment="1">
      <alignment horizontal="center" vertical="center" wrapText="1"/>
    </xf>
    <xf numFmtId="0" fontId="71" fillId="51" borderId="65" xfId="36" applyNumberFormat="1" applyFont="1" applyFill="1" applyBorder="1" applyAlignment="1">
      <alignment horizontal="left" vertical="center" wrapText="1"/>
    </xf>
    <xf numFmtId="164" fontId="71" fillId="51" borderId="65" xfId="36" applyNumberFormat="1" applyFont="1" applyFill="1" applyBorder="1" applyAlignment="1">
      <alignment vertical="center" wrapText="1"/>
    </xf>
    <xf numFmtId="164" fontId="71" fillId="51" borderId="64" xfId="36" applyNumberFormat="1" applyFont="1" applyFill="1" applyBorder="1" applyAlignment="1">
      <alignment vertical="center" wrapText="1"/>
    </xf>
    <xf numFmtId="0" fontId="71" fillId="51" borderId="80" xfId="36" applyNumberFormat="1" applyFont="1" applyFill="1" applyBorder="1" applyAlignment="1">
      <alignment horizontal="center" vertical="center" wrapText="1"/>
    </xf>
    <xf numFmtId="0" fontId="71" fillId="51" borderId="80" xfId="36" applyNumberFormat="1" applyFont="1" applyFill="1" applyBorder="1" applyAlignment="1">
      <alignment horizontal="left" vertical="center" wrapText="1"/>
    </xf>
    <xf numFmtId="164" fontId="71" fillId="51" borderId="80" xfId="36" applyNumberFormat="1" applyFont="1" applyFill="1" applyBorder="1" applyAlignment="1">
      <alignment vertical="center" wrapText="1"/>
    </xf>
    <xf numFmtId="164" fontId="71" fillId="51" borderId="82" xfId="36" applyNumberFormat="1" applyFont="1" applyFill="1" applyBorder="1" applyAlignment="1">
      <alignment vertical="center" wrapText="1"/>
    </xf>
    <xf numFmtId="0" fontId="71" fillId="52" borderId="64" xfId="36" applyNumberFormat="1" applyFont="1" applyFill="1" applyBorder="1" applyAlignment="1">
      <alignment horizontal="center" vertical="center" wrapText="1"/>
    </xf>
    <xf numFmtId="168" fontId="71" fillId="52" borderId="64" xfId="36" applyNumberFormat="1" applyFont="1" applyFill="1" applyBorder="1" applyAlignment="1">
      <alignment vertical="center" wrapText="1"/>
    </xf>
    <xf numFmtId="0" fontId="71" fillId="52" borderId="64" xfId="36" applyNumberFormat="1" applyFont="1" applyFill="1" applyBorder="1" applyAlignment="1">
      <alignment vertical="center" wrapText="1"/>
    </xf>
    <xf numFmtId="0" fontId="71" fillId="52" borderId="82" xfId="36" applyNumberFormat="1" applyFont="1" applyFill="1" applyBorder="1" applyAlignment="1">
      <alignment horizontal="center" vertical="center" wrapText="1"/>
    </xf>
    <xf numFmtId="168" fontId="71" fillId="52" borderId="82" xfId="36" applyNumberFormat="1" applyFont="1" applyFill="1" applyBorder="1" applyAlignment="1">
      <alignment vertical="center" wrapText="1"/>
    </xf>
    <xf numFmtId="0" fontId="71" fillId="52" borderId="82" xfId="36" applyNumberFormat="1" applyFont="1" applyFill="1" applyBorder="1" applyAlignment="1">
      <alignment vertical="center" wrapText="1"/>
    </xf>
    <xf numFmtId="0" fontId="71" fillId="53" borderId="64" xfId="36" applyNumberFormat="1" applyFont="1" applyFill="1" applyBorder="1" applyAlignment="1">
      <alignment vertical="center" wrapText="1"/>
    </xf>
    <xf numFmtId="0" fontId="72" fillId="53" borderId="64" xfId="36" applyNumberFormat="1" applyFont="1" applyFill="1" applyBorder="1" applyAlignment="1">
      <alignment vertical="center" wrapText="1"/>
    </xf>
    <xf numFmtId="0" fontId="72" fillId="53" borderId="83" xfId="36" applyNumberFormat="1" applyFont="1" applyFill="1" applyBorder="1" applyAlignment="1">
      <alignment vertical="center" wrapText="1"/>
    </xf>
    <xf numFmtId="0" fontId="72" fillId="53" borderId="83" xfId="36" applyNumberFormat="1" applyFont="1" applyFill="1" applyBorder="1" applyAlignment="1">
      <alignment horizontal="center" vertical="center" wrapText="1"/>
    </xf>
    <xf numFmtId="0" fontId="78" fillId="51" borderId="80" xfId="36" applyNumberFormat="1" applyFont="1" applyFill="1" applyBorder="1" applyAlignment="1">
      <alignment horizontal="center" vertical="center" wrapText="1"/>
    </xf>
    <xf numFmtId="0" fontId="78" fillId="51" borderId="80" xfId="36" applyNumberFormat="1" applyFont="1" applyFill="1" applyBorder="1" applyAlignment="1">
      <alignment horizontal="right" vertical="center" wrapText="1"/>
    </xf>
    <xf numFmtId="164" fontId="77" fillId="51" borderId="80" xfId="36" applyNumberFormat="1" applyFont="1" applyFill="1" applyBorder="1" applyAlignment="1">
      <alignment vertical="center" wrapText="1"/>
    </xf>
    <xf numFmtId="164" fontId="77" fillId="51" borderId="80" xfId="36" applyNumberFormat="1" applyFont="1" applyFill="1" applyBorder="1" applyAlignment="1">
      <alignment horizontal="right" vertical="center" wrapText="1"/>
    </xf>
    <xf numFmtId="164" fontId="71" fillId="51" borderId="82" xfId="36" applyNumberFormat="1" applyFont="1" applyFill="1" applyBorder="1" applyAlignment="1">
      <alignment horizontal="right" vertical="center" wrapText="1"/>
    </xf>
    <xf numFmtId="0" fontId="71" fillId="52" borderId="82" xfId="36" applyNumberFormat="1" applyFont="1" applyFill="1" applyBorder="1" applyAlignment="1">
      <alignment horizontal="right" vertical="center" wrapText="1"/>
    </xf>
    <xf numFmtId="165" fontId="69" fillId="39" borderId="65" xfId="36" applyNumberFormat="1" applyFont="1" applyFill="1" applyBorder="1" applyAlignment="1">
      <alignment horizontal="center" vertical="center"/>
    </xf>
    <xf numFmtId="165" fontId="71" fillId="39" borderId="65" xfId="36" applyNumberFormat="1" applyFont="1" applyFill="1" applyBorder="1" applyAlignment="1">
      <alignment horizontal="left" vertical="center"/>
    </xf>
    <xf numFmtId="165" fontId="71" fillId="39" borderId="65" xfId="36" applyNumberFormat="1" applyFont="1" applyFill="1" applyBorder="1" applyAlignment="1">
      <alignment horizontal="center" vertical="center"/>
    </xf>
    <xf numFmtId="165" fontId="69" fillId="39" borderId="66" xfId="36" applyNumberFormat="1" applyFont="1" applyFill="1" applyBorder="1" applyAlignment="1">
      <alignment horizontal="center" vertical="center"/>
    </xf>
    <xf numFmtId="165" fontId="69" fillId="39" borderId="79" xfId="36" applyNumberFormat="1" applyFont="1" applyFill="1" applyBorder="1" applyAlignment="1">
      <alignment horizontal="center" vertical="center"/>
    </xf>
    <xf numFmtId="165" fontId="69" fillId="39" borderId="71" xfId="36" applyNumberFormat="1" applyFont="1" applyFill="1" applyBorder="1" applyAlignment="1">
      <alignment horizontal="center" vertical="center"/>
    </xf>
    <xf numFmtId="165" fontId="69" fillId="39" borderId="65" xfId="36" applyNumberFormat="1" applyFont="1" applyFill="1" applyBorder="1" applyAlignment="1">
      <alignment horizontal="center" vertical="center" wrapText="1"/>
    </xf>
    <xf numFmtId="165" fontId="69" fillId="39" borderId="66" xfId="36" applyNumberFormat="1" applyFont="1" applyFill="1" applyBorder="1" applyAlignment="1">
      <alignment horizontal="center" vertical="center" wrapText="1"/>
    </xf>
    <xf numFmtId="165" fontId="69" fillId="39" borderId="79" xfId="36" applyNumberFormat="1" applyFont="1" applyFill="1" applyBorder="1" applyAlignment="1">
      <alignment horizontal="center" vertical="center" wrapText="1"/>
    </xf>
    <xf numFmtId="165" fontId="69" fillId="39" borderId="71" xfId="36" applyNumberFormat="1" applyFont="1" applyFill="1" applyBorder="1" applyAlignment="1">
      <alignment horizontal="center" vertical="center" wrapText="1"/>
    </xf>
    <xf numFmtId="165" fontId="69" fillId="51" borderId="65" xfId="36" applyNumberFormat="1" applyFont="1" applyFill="1" applyBorder="1" applyAlignment="1">
      <alignment horizontal="center" vertical="center" wrapText="1"/>
    </xf>
    <xf numFmtId="165" fontId="69" fillId="51" borderId="80" xfId="36" applyNumberFormat="1" applyFont="1" applyFill="1" applyBorder="1" applyAlignment="1">
      <alignment horizontal="center" vertical="center" wrapText="1"/>
    </xf>
    <xf numFmtId="0" fontId="71" fillId="52" borderId="65" xfId="36" applyNumberFormat="1" applyFont="1" applyFill="1" applyBorder="1" applyAlignment="1">
      <alignment horizontal="center" vertical="center" wrapText="1"/>
    </xf>
    <xf numFmtId="0" fontId="71" fillId="52" borderId="80" xfId="36" applyNumberFormat="1" applyFont="1" applyFill="1" applyBorder="1" applyAlignment="1">
      <alignment horizontal="center" vertical="center" wrapText="1"/>
    </xf>
    <xf numFmtId="165" fontId="69" fillId="52" borderId="66" xfId="36" applyNumberFormat="1" applyFont="1" applyFill="1" applyBorder="1" applyAlignment="1">
      <alignment horizontal="center" vertical="center" wrapText="1"/>
    </xf>
    <xf numFmtId="165" fontId="69" fillId="52" borderId="79" xfId="36" applyNumberFormat="1" applyFont="1" applyFill="1" applyBorder="1" applyAlignment="1">
      <alignment horizontal="center" vertical="center" wrapText="1"/>
    </xf>
    <xf numFmtId="165" fontId="69" fillId="52" borderId="71" xfId="36" applyNumberFormat="1" applyFont="1" applyFill="1" applyBorder="1" applyAlignment="1">
      <alignment horizontal="center" vertical="center" wrapText="1"/>
    </xf>
    <xf numFmtId="165" fontId="69" fillId="52" borderId="85" xfId="36" applyNumberFormat="1" applyFont="1" applyFill="1" applyBorder="1" applyAlignment="1">
      <alignment horizontal="center" vertical="center" wrapText="1"/>
    </xf>
    <xf numFmtId="165" fontId="69" fillId="52" borderId="86" xfId="36" applyNumberFormat="1" applyFont="1" applyFill="1" applyBorder="1" applyAlignment="1">
      <alignment horizontal="center" vertical="center" wrapText="1"/>
    </xf>
    <xf numFmtId="165" fontId="69" fillId="52" borderId="87" xfId="36" applyNumberFormat="1" applyFont="1" applyFill="1" applyBorder="1" applyAlignment="1">
      <alignment horizontal="center" vertical="center" wrapText="1"/>
    </xf>
    <xf numFmtId="0" fontId="69" fillId="42" borderId="67" xfId="36" applyNumberFormat="1" applyFont="1" applyFill="1" applyBorder="1" applyAlignment="1">
      <alignment horizontal="center"/>
    </xf>
    <xf numFmtId="165" fontId="69" fillId="42" borderId="68" xfId="36" applyNumberFormat="1" applyFont="1" applyFill="1" applyBorder="1" applyAlignment="1">
      <alignment horizontal="center"/>
    </xf>
    <xf numFmtId="165" fontId="69" fillId="42" borderId="68" xfId="36" applyNumberFormat="1" applyFont="1" applyFill="1" applyBorder="1" applyAlignment="1">
      <alignment wrapText="1"/>
    </xf>
    <xf numFmtId="165" fontId="71" fillId="42" borderId="68" xfId="36" applyNumberFormat="1" applyFont="1" applyFill="1" applyBorder="1" applyAlignment="1">
      <alignment horizontal="left" wrapText="1"/>
    </xf>
    <xf numFmtId="165" fontId="71" fillId="42" borderId="68" xfId="36" applyNumberFormat="1" applyFont="1" applyFill="1" applyBorder="1" applyAlignment="1">
      <alignment horizontal="center"/>
    </xf>
    <xf numFmtId="165" fontId="71" fillId="42" borderId="68" xfId="36" applyNumberFormat="1" applyFont="1" applyFill="1" applyBorder="1" applyAlignment="1">
      <alignment horizontal="center" wrapText="1"/>
    </xf>
    <xf numFmtId="0" fontId="71" fillId="42" borderId="68" xfId="36" applyNumberFormat="1" applyFont="1" applyFill="1" applyBorder="1" applyAlignment="1">
      <alignment horizontal="center"/>
    </xf>
    <xf numFmtId="164" fontId="71" fillId="42" borderId="68" xfId="36" applyNumberFormat="1" applyFont="1" applyFill="1" applyBorder="1"/>
    <xf numFmtId="165" fontId="69" fillId="42" borderId="65" xfId="36" applyNumberFormat="1" applyFont="1" applyFill="1" applyBorder="1"/>
    <xf numFmtId="10" fontId="69" fillId="42" borderId="65" xfId="36" applyNumberFormat="1" applyFont="1" applyFill="1" applyBorder="1" applyAlignment="1">
      <alignment horizontal="center"/>
    </xf>
    <xf numFmtId="164" fontId="69" fillId="42" borderId="65" xfId="36" applyNumberFormat="1" applyFont="1" applyFill="1" applyBorder="1"/>
    <xf numFmtId="165" fontId="71" fillId="39" borderId="64" xfId="36" applyNumberFormat="1" applyFont="1" applyFill="1" applyBorder="1"/>
    <xf numFmtId="0" fontId="71" fillId="39" borderId="65" xfId="36" applyNumberFormat="1" applyFont="1" applyFill="1" applyBorder="1" applyAlignment="1">
      <alignment horizontal="center" wrapText="1"/>
    </xf>
    <xf numFmtId="164" fontId="69" fillId="39" borderId="70" xfId="36" applyNumberFormat="1" applyFont="1" applyFill="1" applyBorder="1" applyAlignment="1">
      <alignment wrapText="1"/>
    </xf>
    <xf numFmtId="165" fontId="71" fillId="39" borderId="69" xfId="36" applyNumberFormat="1" applyFont="1" applyFill="1" applyBorder="1" applyAlignment="1">
      <alignment horizontal="left" wrapText="1"/>
    </xf>
    <xf numFmtId="164" fontId="71" fillId="39" borderId="69" xfId="36" applyNumberFormat="1" applyFont="1" applyFill="1" applyBorder="1" applyAlignment="1">
      <alignment horizontal="center"/>
    </xf>
    <xf numFmtId="10" fontId="71" fillId="39" borderId="72" xfId="36" applyNumberFormat="1" applyFont="1" applyFill="1" applyBorder="1" applyAlignment="1">
      <alignment horizontal="center" vertical="center" wrapText="1"/>
    </xf>
    <xf numFmtId="10" fontId="70" fillId="39" borderId="73" xfId="36" applyNumberFormat="1" applyFont="1" applyFill="1" applyBorder="1" applyAlignment="1">
      <alignment horizontal="center" vertical="center"/>
    </xf>
    <xf numFmtId="9" fontId="71" fillId="39" borderId="69" xfId="36" applyNumberFormat="1" applyFont="1" applyFill="1" applyBorder="1" applyAlignment="1">
      <alignment horizontal="center"/>
    </xf>
    <xf numFmtId="9" fontId="71" fillId="39" borderId="65" xfId="36" applyNumberFormat="1" applyFont="1" applyFill="1" applyBorder="1" applyAlignment="1">
      <alignment horizontal="center"/>
    </xf>
    <xf numFmtId="10" fontId="70" fillId="39" borderId="74" xfId="36" applyNumberFormat="1" applyFont="1" applyFill="1" applyBorder="1" applyAlignment="1">
      <alignment horizontal="center" vertical="center"/>
    </xf>
    <xf numFmtId="10" fontId="70" fillId="39" borderId="75" xfId="36" applyNumberFormat="1" applyFont="1" applyFill="1" applyBorder="1" applyAlignment="1">
      <alignment horizontal="center" vertical="center"/>
    </xf>
    <xf numFmtId="2" fontId="71" fillId="39" borderId="65" xfId="36" applyNumberFormat="1" applyFont="1" applyFill="1" applyBorder="1" applyAlignment="1">
      <alignment wrapText="1"/>
    </xf>
    <xf numFmtId="165" fontId="71" fillId="39" borderId="69" xfId="36" applyNumberFormat="1" applyFont="1" applyFill="1" applyBorder="1" applyAlignment="1">
      <alignment horizontal="center"/>
    </xf>
    <xf numFmtId="10" fontId="70" fillId="39" borderId="70" xfId="36" applyNumberFormat="1" applyFont="1" applyFill="1" applyBorder="1" applyAlignment="1">
      <alignment horizontal="center" vertical="center"/>
    </xf>
    <xf numFmtId="10" fontId="70" fillId="39" borderId="76" xfId="36" applyNumberFormat="1" applyFont="1" applyFill="1" applyBorder="1" applyAlignment="1">
      <alignment horizontal="center" vertical="center"/>
    </xf>
    <xf numFmtId="165" fontId="71" fillId="39" borderId="77" xfId="36" applyNumberFormat="1" applyFont="1" applyFill="1" applyBorder="1" applyAlignment="1">
      <alignment wrapText="1"/>
    </xf>
    <xf numFmtId="10" fontId="71" fillId="39" borderId="66" xfId="36" applyNumberFormat="1" applyFont="1" applyFill="1" applyBorder="1" applyAlignment="1">
      <alignment horizontal="center" vertical="center"/>
    </xf>
    <xf numFmtId="10" fontId="70" fillId="39" borderId="71" xfId="36" applyNumberFormat="1" applyFont="1" applyFill="1" applyBorder="1" applyAlignment="1">
      <alignment horizontal="center" vertical="center"/>
    </xf>
    <xf numFmtId="0" fontId="69" fillId="46" borderId="65" xfId="36" applyNumberFormat="1" applyFont="1" applyFill="1" applyBorder="1" applyAlignment="1">
      <alignment horizontal="center"/>
    </xf>
    <xf numFmtId="165" fontId="69" fillId="46" borderId="65" xfId="36" applyNumberFormat="1" applyFont="1" applyFill="1" applyBorder="1" applyAlignment="1">
      <alignment horizontal="center"/>
    </xf>
    <xf numFmtId="165" fontId="69" fillId="46" borderId="65" xfId="36" applyNumberFormat="1" applyFont="1" applyFill="1" applyBorder="1" applyAlignment="1">
      <alignment horizontal="center" wrapText="1"/>
    </xf>
    <xf numFmtId="167" fontId="69" fillId="46" borderId="65" xfId="36" applyNumberFormat="1" applyFont="1" applyFill="1" applyBorder="1" applyAlignment="1">
      <alignment horizontal="center"/>
    </xf>
    <xf numFmtId="9" fontId="69" fillId="46" borderId="65" xfId="36" applyNumberFormat="1" applyFont="1" applyFill="1" applyBorder="1" applyAlignment="1">
      <alignment horizontal="center"/>
    </xf>
    <xf numFmtId="0" fontId="69" fillId="45" borderId="69" xfId="36" applyNumberFormat="1" applyFont="1" applyFill="1" applyBorder="1" applyAlignment="1">
      <alignment horizontal="center"/>
    </xf>
    <xf numFmtId="165" fontId="69" fillId="39" borderId="69" xfId="36" applyNumberFormat="1" applyFont="1" applyFill="1" applyBorder="1" applyAlignment="1">
      <alignment horizontal="center"/>
    </xf>
    <xf numFmtId="165" fontId="71" fillId="39" borderId="65" xfId="36" applyNumberFormat="1" applyFont="1" applyFill="1" applyBorder="1" applyAlignment="1">
      <alignment horizontal="center"/>
    </xf>
    <xf numFmtId="49" fontId="71" fillId="39" borderId="65" xfId="36" applyNumberFormat="1" applyFont="1" applyFill="1" applyBorder="1" applyAlignment="1">
      <alignment horizontal="center"/>
    </xf>
    <xf numFmtId="0" fontId="71" fillId="39" borderId="65" xfId="36" applyNumberFormat="1" applyFont="1" applyFill="1" applyBorder="1" applyAlignment="1">
      <alignment horizontal="center"/>
    </xf>
    <xf numFmtId="9" fontId="70" fillId="41" borderId="65" xfId="36" applyNumberFormat="1" applyFont="1" applyFill="1" applyBorder="1" applyAlignment="1">
      <alignment horizontal="center"/>
    </xf>
    <xf numFmtId="0" fontId="71" fillId="47" borderId="69" xfId="36" applyNumberFormat="1" applyFont="1" applyFill="1" applyBorder="1" applyAlignment="1">
      <alignment horizontal="center"/>
    </xf>
    <xf numFmtId="165" fontId="71" fillId="45" borderId="69" xfId="36" applyNumberFormat="1" applyFont="1" applyFill="1" applyBorder="1" applyAlignment="1">
      <alignment horizontal="center"/>
    </xf>
    <xf numFmtId="165" fontId="71" fillId="45" borderId="65" xfId="36" applyNumberFormat="1" applyFont="1" applyFill="1" applyBorder="1" applyAlignment="1">
      <alignment vertical="center" wrapText="1"/>
    </xf>
    <xf numFmtId="49" fontId="71" fillId="39" borderId="65" xfId="36" applyNumberFormat="1" applyFont="1" applyFill="1" applyBorder="1"/>
    <xf numFmtId="0" fontId="71" fillId="45" borderId="65" xfId="36" applyNumberFormat="1" applyFont="1" applyFill="1" applyBorder="1" applyAlignment="1">
      <alignment horizontal="center"/>
    </xf>
    <xf numFmtId="165" fontId="70" fillId="45" borderId="65" xfId="36" applyNumberFormat="1" applyFont="1" applyFill="1" applyBorder="1"/>
    <xf numFmtId="49" fontId="71" fillId="39" borderId="65" xfId="36" applyNumberFormat="1" applyFont="1" applyFill="1" applyBorder="1" applyAlignment="1">
      <alignment horizontal="center" vertical="center"/>
    </xf>
    <xf numFmtId="0" fontId="71" fillId="45" borderId="65" xfId="36" applyNumberFormat="1" applyFont="1" applyFill="1" applyBorder="1" applyAlignment="1">
      <alignment horizontal="center" vertical="center"/>
    </xf>
    <xf numFmtId="0" fontId="71" fillId="47" borderId="69" xfId="36" applyNumberFormat="1" applyFont="1" applyFill="1" applyBorder="1" applyAlignment="1">
      <alignment horizontal="center" vertical="center"/>
    </xf>
    <xf numFmtId="165" fontId="71" fillId="45" borderId="69" xfId="36" applyNumberFormat="1" applyFont="1" applyFill="1" applyBorder="1" applyAlignment="1">
      <alignment horizontal="center" vertical="center"/>
    </xf>
    <xf numFmtId="165" fontId="70" fillId="39" borderId="65" xfId="36" applyNumberFormat="1" applyFont="1" applyFill="1" applyBorder="1" applyAlignment="1">
      <alignment vertical="center"/>
    </xf>
    <xf numFmtId="9" fontId="70" fillId="41" borderId="65" xfId="36" applyNumberFormat="1" applyFont="1" applyFill="1" applyBorder="1" applyAlignment="1">
      <alignment horizontal="center" vertical="center"/>
    </xf>
    <xf numFmtId="165" fontId="70" fillId="45" borderId="65" xfId="36" applyNumberFormat="1" applyFont="1" applyFill="1" applyBorder="1" applyAlignment="1">
      <alignment vertical="center"/>
    </xf>
    <xf numFmtId="165" fontId="71" fillId="39" borderId="64" xfId="36" applyNumberFormat="1" applyFont="1" applyFill="1" applyBorder="1" applyAlignment="1">
      <alignment vertical="center"/>
    </xf>
    <xf numFmtId="0" fontId="71" fillId="45" borderId="69" xfId="36" applyNumberFormat="1" applyFont="1" applyFill="1" applyBorder="1" applyAlignment="1">
      <alignment horizontal="center"/>
    </xf>
    <xf numFmtId="165" fontId="71" fillId="45" borderId="65" xfId="36" applyNumberFormat="1" applyFont="1" applyFill="1" applyBorder="1"/>
    <xf numFmtId="0" fontId="69" fillId="47" borderId="69" xfId="36" applyNumberFormat="1" applyFont="1" applyFill="1" applyBorder="1" applyAlignment="1">
      <alignment horizontal="center"/>
    </xf>
    <xf numFmtId="165" fontId="69" fillId="39" borderId="70" xfId="36" applyNumberFormat="1" applyFont="1" applyFill="1" applyBorder="1" applyAlignment="1">
      <alignment wrapText="1"/>
    </xf>
    <xf numFmtId="165" fontId="71" fillId="45" borderId="65" xfId="36" applyNumberFormat="1" applyFont="1" applyFill="1" applyBorder="1" applyAlignment="1">
      <alignment horizontal="left" wrapText="1"/>
    </xf>
    <xf numFmtId="165" fontId="71" fillId="45" borderId="65" xfId="36" applyNumberFormat="1" applyFont="1" applyFill="1" applyBorder="1" applyAlignment="1">
      <alignment horizontal="center"/>
    </xf>
    <xf numFmtId="165" fontId="71" fillId="45" borderId="65" xfId="36" applyNumberFormat="1" applyFont="1" applyFill="1" applyBorder="1" applyAlignment="1">
      <alignment horizontal="center" wrapText="1"/>
    </xf>
    <xf numFmtId="165" fontId="71" fillId="39" borderId="65" xfId="36" applyNumberFormat="1" applyFont="1" applyFill="1" applyBorder="1" applyAlignment="1">
      <alignment horizontal="center" wrapText="1"/>
    </xf>
    <xf numFmtId="165" fontId="71" fillId="45" borderId="70" xfId="36" applyNumberFormat="1" applyFont="1" applyFill="1" applyBorder="1" applyAlignment="1">
      <alignment horizontal="left" wrapText="1"/>
    </xf>
    <xf numFmtId="0" fontId="71" fillId="45" borderId="69" xfId="36" applyNumberFormat="1" applyFont="1" applyFill="1" applyBorder="1" applyAlignment="1">
      <alignment horizontal="center" vertical="center"/>
    </xf>
    <xf numFmtId="165" fontId="71" fillId="39" borderId="69" xfId="36" applyNumberFormat="1" applyFont="1" applyFill="1" applyBorder="1" applyAlignment="1">
      <alignment horizontal="center" vertical="center"/>
    </xf>
    <xf numFmtId="165" fontId="71" fillId="39" borderId="66" xfId="36" applyNumberFormat="1" applyFont="1" applyFill="1" applyBorder="1" applyAlignment="1">
      <alignment horizontal="center" vertical="center" wrapText="1"/>
    </xf>
    <xf numFmtId="165" fontId="71" fillId="39" borderId="66" xfId="36" applyNumberFormat="1" applyFont="1" applyFill="1" applyBorder="1" applyAlignment="1">
      <alignment horizontal="center" wrapText="1"/>
    </xf>
    <xf numFmtId="165" fontId="69" fillId="39" borderId="64" xfId="36" applyNumberFormat="1" applyFont="1" applyFill="1" applyBorder="1" applyAlignment="1">
      <alignment wrapText="1"/>
    </xf>
    <xf numFmtId="165" fontId="69" fillId="45" borderId="65" xfId="36" applyNumberFormat="1" applyFont="1" applyFill="1" applyBorder="1"/>
    <xf numFmtId="49" fontId="71" fillId="45" borderId="65" xfId="36" applyNumberFormat="1" applyFont="1" applyFill="1" applyBorder="1" applyAlignment="1">
      <alignment horizontal="center"/>
    </xf>
    <xf numFmtId="49" fontId="70" fillId="39" borderId="64" xfId="36" applyNumberFormat="1" applyFont="1" applyFill="1" applyBorder="1"/>
    <xf numFmtId="165" fontId="71" fillId="39" borderId="70" xfId="36" applyNumberFormat="1" applyFont="1" applyFill="1" applyBorder="1" applyAlignment="1">
      <alignment wrapText="1"/>
    </xf>
    <xf numFmtId="165" fontId="69" fillId="39" borderId="69" xfId="36" applyNumberFormat="1" applyFont="1" applyFill="1" applyBorder="1" applyAlignment="1">
      <alignment wrapText="1"/>
    </xf>
    <xf numFmtId="165" fontId="71" fillId="39" borderId="69" xfId="36" applyNumberFormat="1" applyFont="1" applyFill="1" applyBorder="1" applyAlignment="1">
      <alignment wrapText="1"/>
    </xf>
    <xf numFmtId="0" fontId="69" fillId="45" borderId="69" xfId="36" applyNumberFormat="1" applyFont="1" applyFill="1" applyBorder="1" applyAlignment="1">
      <alignment horizontal="center" vertical="center"/>
    </xf>
    <xf numFmtId="165" fontId="69" fillId="39" borderId="69" xfId="36" applyNumberFormat="1" applyFont="1" applyFill="1" applyBorder="1" applyAlignment="1">
      <alignment horizontal="center" vertical="center"/>
    </xf>
    <xf numFmtId="49" fontId="71" fillId="39" borderId="65" xfId="36" applyNumberFormat="1" applyFont="1" applyFill="1" applyBorder="1" applyAlignment="1">
      <alignment vertical="center"/>
    </xf>
    <xf numFmtId="164" fontId="70" fillId="39" borderId="64" xfId="36" applyNumberFormat="1" applyFont="1" applyFill="1" applyBorder="1" applyAlignment="1">
      <alignment vertical="center"/>
    </xf>
    <xf numFmtId="165" fontId="69" fillId="45" borderId="65" xfId="36" applyNumberFormat="1" applyFont="1" applyFill="1" applyBorder="1" applyAlignment="1">
      <alignment wrapText="1"/>
    </xf>
    <xf numFmtId="165" fontId="71" fillId="45" borderId="65" xfId="36" applyNumberFormat="1" applyFont="1" applyFill="1" applyBorder="1" applyAlignment="1">
      <alignment wrapText="1"/>
    </xf>
    <xf numFmtId="165" fontId="69" fillId="45" borderId="69" xfId="36" applyNumberFormat="1" applyFont="1" applyFill="1" applyBorder="1" applyAlignment="1">
      <alignment wrapText="1"/>
    </xf>
    <xf numFmtId="0" fontId="69" fillId="45" borderId="65" xfId="36" applyNumberFormat="1" applyFont="1" applyFill="1" applyBorder="1" applyAlignment="1">
      <alignment horizontal="center" wrapText="1"/>
    </xf>
    <xf numFmtId="0" fontId="71" fillId="45" borderId="65" xfId="36" applyNumberFormat="1" applyFont="1" applyFill="1" applyBorder="1" applyAlignment="1">
      <alignment wrapText="1"/>
    </xf>
    <xf numFmtId="165" fontId="69" fillId="39" borderId="65" xfId="36" applyNumberFormat="1" applyFont="1" applyFill="1" applyBorder="1" applyAlignment="1">
      <alignment horizontal="left" wrapText="1"/>
    </xf>
    <xf numFmtId="164" fontId="69" fillId="39" borderId="64" xfId="36" applyNumberFormat="1" applyFont="1" applyFill="1" applyBorder="1"/>
    <xf numFmtId="9" fontId="69" fillId="41" borderId="65" xfId="36" applyNumberFormat="1" applyFont="1" applyFill="1" applyBorder="1" applyAlignment="1">
      <alignment horizontal="center"/>
    </xf>
    <xf numFmtId="0" fontId="71" fillId="47" borderId="65" xfId="36" applyNumberFormat="1" applyFont="1" applyFill="1" applyBorder="1" applyAlignment="1">
      <alignment horizontal="center"/>
    </xf>
    <xf numFmtId="165" fontId="71" fillId="39" borderId="69" xfId="36" applyNumberFormat="1" applyFont="1" applyFill="1" applyBorder="1" applyAlignment="1">
      <alignment horizontal="left"/>
    </xf>
    <xf numFmtId="165" fontId="71" fillId="39" borderId="66" xfId="36" applyNumberFormat="1" applyFont="1" applyFill="1" applyBorder="1" applyAlignment="1">
      <alignment wrapText="1"/>
    </xf>
    <xf numFmtId="165" fontId="71" fillId="47" borderId="66" xfId="36" applyNumberFormat="1" applyFont="1" applyFill="1" applyBorder="1" applyAlignment="1">
      <alignment wrapText="1"/>
    </xf>
    <xf numFmtId="0" fontId="69" fillId="42" borderId="67" xfId="36" applyNumberFormat="1" applyFont="1" applyFill="1" applyBorder="1" applyAlignment="1">
      <alignment horizontal="center" wrapText="1"/>
    </xf>
    <xf numFmtId="165" fontId="69" fillId="42" borderId="68" xfId="36" applyNumberFormat="1" applyFont="1" applyFill="1" applyBorder="1" applyAlignment="1">
      <alignment horizontal="center" wrapText="1"/>
    </xf>
    <xf numFmtId="0" fontId="71" fillId="42" borderId="68" xfId="36" applyNumberFormat="1" applyFont="1" applyFill="1" applyBorder="1" applyAlignment="1">
      <alignment horizontal="center" wrapText="1"/>
    </xf>
    <xf numFmtId="164" fontId="71" fillId="42" borderId="68" xfId="36" applyNumberFormat="1" applyFont="1" applyFill="1" applyBorder="1" applyAlignment="1">
      <alignment wrapText="1"/>
    </xf>
    <xf numFmtId="165" fontId="69" fillId="42" borderId="65" xfId="36" applyNumberFormat="1" applyFont="1" applyFill="1" applyBorder="1" applyAlignment="1">
      <alignment wrapText="1"/>
    </xf>
    <xf numFmtId="10" fontId="69" fillId="42" borderId="65" xfId="36" applyNumberFormat="1" applyFont="1" applyFill="1" applyBorder="1" applyAlignment="1">
      <alignment horizontal="center" wrapText="1"/>
    </xf>
    <xf numFmtId="164" fontId="69" fillId="42" borderId="65" xfId="36" applyNumberFormat="1" applyFont="1" applyFill="1" applyBorder="1" applyAlignment="1">
      <alignment wrapText="1"/>
    </xf>
    <xf numFmtId="165" fontId="71" fillId="39" borderId="64" xfId="36" applyNumberFormat="1" applyFont="1" applyFill="1" applyBorder="1" applyAlignment="1">
      <alignment wrapText="1"/>
    </xf>
    <xf numFmtId="164" fontId="71" fillId="39" borderId="69" xfId="36" applyNumberFormat="1" applyFont="1" applyFill="1" applyBorder="1" applyAlignment="1">
      <alignment horizontal="center" wrapText="1"/>
    </xf>
    <xf numFmtId="10" fontId="70" fillId="39" borderId="73" xfId="36" applyNumberFormat="1" applyFont="1" applyFill="1" applyBorder="1" applyAlignment="1">
      <alignment horizontal="center" vertical="center" wrapText="1"/>
    </xf>
    <xf numFmtId="9" fontId="71" fillId="39" borderId="69" xfId="36" applyNumberFormat="1" applyFont="1" applyFill="1" applyBorder="1" applyAlignment="1">
      <alignment horizontal="center" wrapText="1"/>
    </xf>
    <xf numFmtId="9" fontId="71" fillId="39" borderId="65" xfId="36" applyNumberFormat="1" applyFont="1" applyFill="1" applyBorder="1" applyAlignment="1">
      <alignment horizontal="center" wrapText="1"/>
    </xf>
    <xf numFmtId="10" fontId="70" fillId="39" borderId="74" xfId="36" applyNumberFormat="1" applyFont="1" applyFill="1" applyBorder="1" applyAlignment="1">
      <alignment horizontal="center" vertical="center" wrapText="1"/>
    </xf>
    <xf numFmtId="10" fontId="70" fillId="39" borderId="75" xfId="36" applyNumberFormat="1" applyFont="1" applyFill="1" applyBorder="1" applyAlignment="1">
      <alignment horizontal="center" vertical="center" wrapText="1"/>
    </xf>
    <xf numFmtId="165" fontId="71" fillId="39" borderId="69" xfId="36" applyNumberFormat="1" applyFont="1" applyFill="1" applyBorder="1" applyAlignment="1">
      <alignment horizontal="center" wrapText="1"/>
    </xf>
    <xf numFmtId="10" fontId="70" fillId="39" borderId="70" xfId="36" applyNumberFormat="1" applyFont="1" applyFill="1" applyBorder="1" applyAlignment="1">
      <alignment horizontal="center" vertical="center" wrapText="1"/>
    </xf>
    <xf numFmtId="10" fontId="70" fillId="39" borderId="76" xfId="36" applyNumberFormat="1" applyFont="1" applyFill="1" applyBorder="1" applyAlignment="1">
      <alignment horizontal="center" vertical="center" wrapText="1"/>
    </xf>
    <xf numFmtId="10" fontId="71" fillId="39" borderId="66" xfId="36" applyNumberFormat="1" applyFont="1" applyFill="1" applyBorder="1" applyAlignment="1">
      <alignment horizontal="center" vertical="center" wrapText="1"/>
    </xf>
    <xf numFmtId="10" fontId="70" fillId="39" borderId="71" xfId="36" applyNumberFormat="1" applyFont="1" applyFill="1" applyBorder="1" applyAlignment="1">
      <alignment horizontal="center" vertical="center" wrapText="1"/>
    </xf>
    <xf numFmtId="0" fontId="69" fillId="46" borderId="65" xfId="36" applyNumberFormat="1" applyFont="1" applyFill="1" applyBorder="1" applyAlignment="1">
      <alignment horizontal="center" wrapText="1"/>
    </xf>
    <xf numFmtId="167" fontId="69" fillId="46" borderId="65" xfId="36" applyNumberFormat="1" applyFont="1" applyFill="1" applyBorder="1" applyAlignment="1">
      <alignment horizontal="center" wrapText="1"/>
    </xf>
    <xf numFmtId="9" fontId="69" fillId="46" borderId="65" xfId="36" applyNumberFormat="1" applyFont="1" applyFill="1" applyBorder="1" applyAlignment="1">
      <alignment horizontal="center" wrapText="1"/>
    </xf>
    <xf numFmtId="0" fontId="69" fillId="45" borderId="69" xfId="36" applyNumberFormat="1" applyFont="1" applyFill="1" applyBorder="1" applyAlignment="1">
      <alignment horizontal="center" wrapText="1"/>
    </xf>
    <xf numFmtId="165" fontId="69" fillId="39" borderId="69" xfId="36" applyNumberFormat="1" applyFont="1" applyFill="1" applyBorder="1" applyAlignment="1">
      <alignment horizontal="center" wrapText="1"/>
    </xf>
    <xf numFmtId="49" fontId="71" fillId="39" borderId="65" xfId="36" applyNumberFormat="1" applyFont="1" applyFill="1" applyBorder="1" applyAlignment="1">
      <alignment horizontal="center" wrapText="1"/>
    </xf>
    <xf numFmtId="9" fontId="70" fillId="41" borderId="65" xfId="36" applyNumberFormat="1" applyFont="1" applyFill="1" applyBorder="1" applyAlignment="1">
      <alignment horizontal="center" wrapText="1"/>
    </xf>
    <xf numFmtId="0" fontId="71" fillId="47" borderId="69" xfId="36" applyNumberFormat="1" applyFont="1" applyFill="1" applyBorder="1" applyAlignment="1">
      <alignment horizontal="center" wrapText="1"/>
    </xf>
    <xf numFmtId="165" fontId="71" fillId="45" borderId="69" xfId="36" applyNumberFormat="1" applyFont="1" applyFill="1" applyBorder="1" applyAlignment="1">
      <alignment horizontal="center" wrapText="1"/>
    </xf>
    <xf numFmtId="49" fontId="71" fillId="39" borderId="65" xfId="36" applyNumberFormat="1" applyFont="1" applyFill="1" applyBorder="1" applyAlignment="1">
      <alignment wrapText="1"/>
    </xf>
    <xf numFmtId="0" fontId="71" fillId="45" borderId="65" xfId="36" applyNumberFormat="1" applyFont="1" applyFill="1" applyBorder="1" applyAlignment="1">
      <alignment horizontal="center" wrapText="1"/>
    </xf>
    <xf numFmtId="165" fontId="70" fillId="45" borderId="65" xfId="36" applyNumberFormat="1" applyFont="1" applyFill="1" applyBorder="1" applyAlignment="1">
      <alignment wrapText="1"/>
    </xf>
    <xf numFmtId="49" fontId="71" fillId="39" borderId="65" xfId="36" applyNumberFormat="1" applyFont="1" applyFill="1" applyBorder="1" applyAlignment="1">
      <alignment horizontal="center" vertical="center" wrapText="1"/>
    </xf>
    <xf numFmtId="0" fontId="71" fillId="45" borderId="65" xfId="36" applyNumberFormat="1" applyFont="1" applyFill="1" applyBorder="1" applyAlignment="1">
      <alignment horizontal="center" vertical="center" wrapText="1"/>
    </xf>
    <xf numFmtId="0" fontId="71" fillId="47" borderId="69" xfId="36" applyNumberFormat="1" applyFont="1" applyFill="1" applyBorder="1" applyAlignment="1">
      <alignment horizontal="center" vertical="center" wrapText="1"/>
    </xf>
    <xf numFmtId="165" fontId="71" fillId="45" borderId="69" xfId="36" applyNumberFormat="1" applyFont="1" applyFill="1" applyBorder="1" applyAlignment="1">
      <alignment horizontal="center" vertical="center" wrapText="1"/>
    </xf>
    <xf numFmtId="9" fontId="70" fillId="41" borderId="65" xfId="36" applyNumberFormat="1" applyFont="1" applyFill="1" applyBorder="1" applyAlignment="1">
      <alignment horizontal="center" vertical="center" wrapText="1"/>
    </xf>
    <xf numFmtId="165" fontId="70" fillId="45" borderId="65" xfId="36" applyNumberFormat="1" applyFont="1" applyFill="1" applyBorder="1" applyAlignment="1">
      <alignment vertical="center" wrapText="1"/>
    </xf>
    <xf numFmtId="165" fontId="71" fillId="39" borderId="64" xfId="36" applyNumberFormat="1" applyFont="1" applyFill="1" applyBorder="1" applyAlignment="1">
      <alignment vertical="center" wrapText="1"/>
    </xf>
    <xf numFmtId="0" fontId="71" fillId="45" borderId="69" xfId="36" applyNumberFormat="1" applyFont="1" applyFill="1" applyBorder="1" applyAlignment="1">
      <alignment horizontal="center" wrapText="1"/>
    </xf>
    <xf numFmtId="0" fontId="69" fillId="47" borderId="69" xfId="36" applyNumberFormat="1" applyFont="1" applyFill="1" applyBorder="1" applyAlignment="1">
      <alignment horizontal="center" wrapText="1"/>
    </xf>
    <xf numFmtId="0" fontId="71" fillId="45" borderId="69" xfId="36" applyNumberFormat="1" applyFont="1" applyFill="1" applyBorder="1" applyAlignment="1">
      <alignment horizontal="center" vertical="center" wrapText="1"/>
    </xf>
    <xf numFmtId="165" fontId="71" fillId="39" borderId="69" xfId="36" applyNumberFormat="1" applyFont="1" applyFill="1" applyBorder="1" applyAlignment="1">
      <alignment horizontal="center" vertical="center" wrapText="1"/>
    </xf>
    <xf numFmtId="49" fontId="71" fillId="45" borderId="65" xfId="36" applyNumberFormat="1" applyFont="1" applyFill="1" applyBorder="1" applyAlignment="1">
      <alignment horizontal="center" wrapText="1"/>
    </xf>
    <xf numFmtId="49" fontId="70" fillId="39" borderId="64" xfId="36" applyNumberFormat="1" applyFont="1" applyFill="1" applyBorder="1" applyAlignment="1">
      <alignment wrapText="1"/>
    </xf>
    <xf numFmtId="0" fontId="69" fillId="45" borderId="69" xfId="36" applyNumberFormat="1" applyFont="1" applyFill="1" applyBorder="1" applyAlignment="1">
      <alignment horizontal="center" vertical="center" wrapText="1"/>
    </xf>
    <xf numFmtId="165" fontId="69" fillId="39" borderId="69" xfId="36" applyNumberFormat="1" applyFont="1" applyFill="1" applyBorder="1" applyAlignment="1">
      <alignment horizontal="center" vertical="center" wrapText="1"/>
    </xf>
    <xf numFmtId="49" fontId="71" fillId="39" borderId="65" xfId="36" applyNumberFormat="1" applyFont="1" applyFill="1" applyBorder="1" applyAlignment="1">
      <alignment vertical="center" wrapText="1"/>
    </xf>
    <xf numFmtId="164" fontId="69" fillId="39" borderId="64" xfId="36" applyNumberFormat="1" applyFont="1" applyFill="1" applyBorder="1" applyAlignment="1">
      <alignment wrapText="1"/>
    </xf>
    <xf numFmtId="9" fontId="69" fillId="41" borderId="65" xfId="36" applyNumberFormat="1" applyFont="1" applyFill="1" applyBorder="1" applyAlignment="1">
      <alignment horizontal="center" wrapText="1"/>
    </xf>
    <xf numFmtId="0" fontId="71" fillId="47" borderId="65" xfId="36" applyNumberFormat="1" applyFont="1" applyFill="1" applyBorder="1" applyAlignment="1">
      <alignment horizontal="center" wrapText="1"/>
    </xf>
    <xf numFmtId="0" fontId="69" fillId="42" borderId="67" xfId="36" applyNumberFormat="1" applyFont="1" applyFill="1" applyBorder="1" applyAlignment="1">
      <alignment horizontal="center" vertical="center" wrapText="1"/>
    </xf>
    <xf numFmtId="165" fontId="69" fillId="42" borderId="68" xfId="36" applyNumberFormat="1" applyFont="1" applyFill="1" applyBorder="1" applyAlignment="1">
      <alignment horizontal="center" vertical="center" wrapText="1"/>
    </xf>
    <xf numFmtId="165" fontId="69" fillId="42" borderId="68" xfId="36" applyNumberFormat="1" applyFont="1" applyFill="1" applyBorder="1" applyAlignment="1">
      <alignment vertical="center" wrapText="1"/>
    </xf>
    <xf numFmtId="165" fontId="71" fillId="42" borderId="68" xfId="36" applyNumberFormat="1" applyFont="1" applyFill="1" applyBorder="1" applyAlignment="1">
      <alignment horizontal="left" vertical="center" wrapText="1"/>
    </xf>
    <xf numFmtId="165" fontId="71" fillId="42" borderId="68" xfId="36" applyNumberFormat="1" applyFont="1" applyFill="1" applyBorder="1" applyAlignment="1">
      <alignment horizontal="center" vertical="center" wrapText="1"/>
    </xf>
    <xf numFmtId="0" fontId="71" fillId="42" borderId="68" xfId="36" applyNumberFormat="1" applyFont="1" applyFill="1" applyBorder="1" applyAlignment="1">
      <alignment horizontal="center" vertical="center" wrapText="1"/>
    </xf>
    <xf numFmtId="164" fontId="71" fillId="42" borderId="68" xfId="36" applyNumberFormat="1" applyFont="1" applyFill="1" applyBorder="1" applyAlignment="1">
      <alignment vertical="center" wrapText="1"/>
    </xf>
    <xf numFmtId="165" fontId="69" fillId="42" borderId="65" xfId="36" applyNumberFormat="1" applyFont="1" applyFill="1" applyBorder="1" applyAlignment="1">
      <alignment vertical="center" wrapText="1"/>
    </xf>
    <xf numFmtId="10" fontId="69" fillId="42" borderId="65" xfId="36" applyNumberFormat="1" applyFont="1" applyFill="1" applyBorder="1" applyAlignment="1">
      <alignment horizontal="center" vertical="center" wrapText="1"/>
    </xf>
    <xf numFmtId="164" fontId="69" fillId="42" borderId="65" xfId="36" applyNumberFormat="1" applyFont="1" applyFill="1" applyBorder="1" applyAlignment="1">
      <alignment vertical="center" wrapText="1"/>
    </xf>
    <xf numFmtId="164" fontId="69" fillId="39" borderId="70" xfId="36" applyNumberFormat="1" applyFont="1" applyFill="1" applyBorder="1" applyAlignment="1">
      <alignment vertical="center" wrapText="1"/>
    </xf>
    <xf numFmtId="165" fontId="71" fillId="39" borderId="69" xfId="36" applyNumberFormat="1" applyFont="1" applyFill="1" applyBorder="1" applyAlignment="1">
      <alignment horizontal="left" vertical="center" wrapText="1"/>
    </xf>
    <xf numFmtId="164" fontId="71" fillId="39" borderId="69" xfId="36" applyNumberFormat="1" applyFont="1" applyFill="1" applyBorder="1" applyAlignment="1">
      <alignment horizontal="center" vertical="center" wrapText="1"/>
    </xf>
    <xf numFmtId="9" fontId="71" fillId="39" borderId="69" xfId="36" applyNumberFormat="1" applyFont="1" applyFill="1" applyBorder="1" applyAlignment="1">
      <alignment horizontal="center" vertical="center" wrapText="1"/>
    </xf>
    <xf numFmtId="9" fontId="71" fillId="39" borderId="65" xfId="36" applyNumberFormat="1" applyFont="1" applyFill="1" applyBorder="1" applyAlignment="1">
      <alignment horizontal="center" vertical="center" wrapText="1"/>
    </xf>
    <xf numFmtId="2" fontId="71" fillId="39" borderId="65" xfId="36" applyNumberFormat="1" applyFont="1" applyFill="1" applyBorder="1" applyAlignment="1">
      <alignment vertical="center" wrapText="1"/>
    </xf>
    <xf numFmtId="165" fontId="71" fillId="39" borderId="77" xfId="36" applyNumberFormat="1" applyFont="1" applyFill="1" applyBorder="1" applyAlignment="1">
      <alignment vertical="center" wrapText="1"/>
    </xf>
    <xf numFmtId="0" fontId="69" fillId="46" borderId="65" xfId="36" applyNumberFormat="1" applyFont="1" applyFill="1" applyBorder="1" applyAlignment="1">
      <alignment horizontal="center" vertical="center" wrapText="1"/>
    </xf>
    <xf numFmtId="165" fontId="69" fillId="46" borderId="65" xfId="36" applyNumberFormat="1" applyFont="1" applyFill="1" applyBorder="1" applyAlignment="1">
      <alignment horizontal="center" vertical="center" wrapText="1"/>
    </xf>
    <xf numFmtId="167" fontId="69" fillId="46" borderId="65" xfId="36" applyNumberFormat="1" applyFont="1" applyFill="1" applyBorder="1" applyAlignment="1">
      <alignment horizontal="center" vertical="center" wrapText="1"/>
    </xf>
    <xf numFmtId="9" fontId="69" fillId="46" borderId="65" xfId="36" applyNumberFormat="1" applyFont="1" applyFill="1" applyBorder="1" applyAlignment="1">
      <alignment horizontal="center" vertical="center" wrapText="1"/>
    </xf>
    <xf numFmtId="0" fontId="69" fillId="47" borderId="69" xfId="36" applyNumberFormat="1" applyFont="1" applyFill="1" applyBorder="1" applyAlignment="1">
      <alignment horizontal="center" vertical="center" wrapText="1"/>
    </xf>
    <xf numFmtId="165" fontId="69" fillId="39" borderId="70" xfId="36" applyNumberFormat="1" applyFont="1" applyFill="1" applyBorder="1" applyAlignment="1">
      <alignment vertical="center" wrapText="1"/>
    </xf>
    <xf numFmtId="165" fontId="71" fillId="45" borderId="65" xfId="36" applyNumberFormat="1" applyFont="1" applyFill="1" applyBorder="1" applyAlignment="1">
      <alignment horizontal="left" vertical="center" wrapText="1"/>
    </xf>
    <xf numFmtId="165" fontId="71" fillId="45" borderId="65" xfId="36" applyNumberFormat="1" applyFont="1" applyFill="1" applyBorder="1" applyAlignment="1">
      <alignment horizontal="center" vertical="center" wrapText="1"/>
    </xf>
    <xf numFmtId="165" fontId="71" fillId="45" borderId="70" xfId="36" applyNumberFormat="1" applyFont="1" applyFill="1" applyBorder="1" applyAlignment="1">
      <alignment horizontal="left" vertical="center" wrapText="1"/>
    </xf>
    <xf numFmtId="165" fontId="69" fillId="39" borderId="64" xfId="36" applyNumberFormat="1" applyFont="1" applyFill="1" applyBorder="1" applyAlignment="1">
      <alignment vertical="center" wrapText="1"/>
    </xf>
    <xf numFmtId="165" fontId="69" fillId="45" borderId="65" xfId="36" applyNumberFormat="1" applyFont="1" applyFill="1" applyBorder="1" applyAlignment="1">
      <alignment vertical="center" wrapText="1"/>
    </xf>
    <xf numFmtId="49" fontId="71" fillId="45" borderId="65" xfId="36" applyNumberFormat="1" applyFont="1" applyFill="1" applyBorder="1" applyAlignment="1">
      <alignment horizontal="center" vertical="center" wrapText="1"/>
    </xf>
    <xf numFmtId="49" fontId="70" fillId="39" borderId="64" xfId="36" applyNumberFormat="1" applyFont="1" applyFill="1" applyBorder="1" applyAlignment="1">
      <alignment vertical="center" wrapText="1"/>
    </xf>
    <xf numFmtId="165" fontId="71" fillId="39" borderId="70" xfId="36" applyNumberFormat="1" applyFont="1" applyFill="1" applyBorder="1" applyAlignment="1">
      <alignment vertical="center" wrapText="1"/>
    </xf>
    <xf numFmtId="165" fontId="69" fillId="39" borderId="69" xfId="36" applyNumberFormat="1" applyFont="1" applyFill="1" applyBorder="1" applyAlignment="1">
      <alignment vertical="center" wrapText="1"/>
    </xf>
    <xf numFmtId="165" fontId="71" fillId="39" borderId="69" xfId="36" applyNumberFormat="1" applyFont="1" applyFill="1" applyBorder="1" applyAlignment="1">
      <alignment vertical="center" wrapText="1"/>
    </xf>
    <xf numFmtId="165" fontId="69" fillId="45" borderId="69" xfId="36" applyNumberFormat="1" applyFont="1" applyFill="1" applyBorder="1" applyAlignment="1">
      <alignment vertical="center" wrapText="1"/>
    </xf>
    <xf numFmtId="0" fontId="69" fillId="45" borderId="65" xfId="36" applyNumberFormat="1" applyFont="1" applyFill="1" applyBorder="1" applyAlignment="1">
      <alignment horizontal="center" vertical="center" wrapText="1"/>
    </xf>
    <xf numFmtId="0" fontId="71" fillId="45" borderId="65" xfId="36" applyNumberFormat="1" applyFont="1" applyFill="1" applyBorder="1" applyAlignment="1">
      <alignment vertical="center" wrapText="1"/>
    </xf>
    <xf numFmtId="165" fontId="69" fillId="39" borderId="65" xfId="36" applyNumberFormat="1" applyFont="1" applyFill="1" applyBorder="1" applyAlignment="1">
      <alignment horizontal="left" vertical="center" wrapText="1"/>
    </xf>
    <xf numFmtId="164" fontId="69" fillId="39" borderId="64" xfId="36" applyNumberFormat="1" applyFont="1" applyFill="1" applyBorder="1" applyAlignment="1">
      <alignment vertical="center" wrapText="1"/>
    </xf>
    <xf numFmtId="9" fontId="69" fillId="41" borderId="65" xfId="36" applyNumberFormat="1" applyFont="1" applyFill="1" applyBorder="1" applyAlignment="1">
      <alignment horizontal="center" vertical="center" wrapText="1"/>
    </xf>
    <xf numFmtId="0" fontId="71" fillId="47" borderId="65" xfId="36" applyNumberFormat="1" applyFont="1" applyFill="1" applyBorder="1" applyAlignment="1">
      <alignment horizontal="center" vertical="center" wrapText="1"/>
    </xf>
    <xf numFmtId="165" fontId="71" fillId="39" borderId="66" xfId="36" applyNumberFormat="1" applyFont="1" applyFill="1" applyBorder="1" applyAlignment="1">
      <alignment vertical="center" wrapText="1"/>
    </xf>
    <xf numFmtId="165" fontId="71" fillId="47" borderId="66" xfId="36" applyNumberFormat="1" applyFont="1" applyFill="1" applyBorder="1" applyAlignment="1">
      <alignment vertical="center" wrapText="1"/>
    </xf>
    <xf numFmtId="164" fontId="69" fillId="51" borderId="70" xfId="36" applyNumberFormat="1" applyFont="1" applyFill="1" applyBorder="1" applyAlignment="1">
      <alignment vertical="center" wrapText="1"/>
    </xf>
    <xf numFmtId="165" fontId="71" fillId="51" borderId="69" xfId="36" applyNumberFormat="1" applyFont="1" applyFill="1" applyBorder="1" applyAlignment="1">
      <alignment horizontal="left" vertical="center" wrapText="1"/>
    </xf>
    <xf numFmtId="164" fontId="71" fillId="51" borderId="69" xfId="36" applyNumberFormat="1" applyFont="1" applyFill="1" applyBorder="1" applyAlignment="1">
      <alignment horizontal="center" vertical="center" wrapText="1"/>
    </xf>
    <xf numFmtId="10" fontId="71" fillId="51" borderId="72" xfId="36" applyNumberFormat="1" applyFont="1" applyFill="1" applyBorder="1" applyAlignment="1">
      <alignment horizontal="center" vertical="center" wrapText="1"/>
    </xf>
    <xf numFmtId="10" fontId="70" fillId="51" borderId="73" xfId="36" applyNumberFormat="1" applyFont="1" applyFill="1" applyBorder="1" applyAlignment="1">
      <alignment horizontal="center" vertical="center" wrapText="1"/>
    </xf>
    <xf numFmtId="9" fontId="71" fillId="51" borderId="69" xfId="36" applyNumberFormat="1" applyFont="1" applyFill="1" applyBorder="1" applyAlignment="1">
      <alignment horizontal="center" vertical="center" wrapText="1"/>
    </xf>
    <xf numFmtId="9" fontId="71" fillId="51" borderId="65" xfId="36" applyNumberFormat="1" applyFont="1" applyFill="1" applyBorder="1" applyAlignment="1">
      <alignment horizontal="center" vertical="center" wrapText="1"/>
    </xf>
    <xf numFmtId="165" fontId="71" fillId="51" borderId="64" xfId="36" applyNumberFormat="1" applyFont="1" applyFill="1" applyBorder="1" applyAlignment="1">
      <alignment vertical="center" wrapText="1"/>
    </xf>
    <xf numFmtId="164" fontId="69" fillId="51" borderId="88" xfId="36" applyNumberFormat="1" applyFont="1" applyFill="1" applyBorder="1" applyAlignment="1">
      <alignment vertical="center" wrapText="1"/>
    </xf>
    <xf numFmtId="165" fontId="71" fillId="51" borderId="84" xfId="36" applyNumberFormat="1" applyFont="1" applyFill="1" applyBorder="1" applyAlignment="1">
      <alignment horizontal="left" vertical="center" wrapText="1"/>
    </xf>
    <xf numFmtId="164" fontId="71" fillId="51" borderId="84" xfId="36" applyNumberFormat="1" applyFont="1" applyFill="1" applyBorder="1" applyAlignment="1">
      <alignment horizontal="center" vertical="center" wrapText="1"/>
    </xf>
    <xf numFmtId="10" fontId="71" fillId="51" borderId="85" xfId="36" applyNumberFormat="1" applyFont="1" applyFill="1" applyBorder="1" applyAlignment="1">
      <alignment horizontal="center" vertical="center" wrapText="1"/>
    </xf>
    <xf numFmtId="10" fontId="70" fillId="51" borderId="87" xfId="36" applyNumberFormat="1" applyFont="1" applyFill="1" applyBorder="1" applyAlignment="1">
      <alignment horizontal="center" vertical="center" wrapText="1"/>
    </xf>
    <xf numFmtId="9" fontId="71" fillId="51" borderId="84" xfId="36" applyNumberFormat="1" applyFont="1" applyFill="1" applyBorder="1" applyAlignment="1">
      <alignment horizontal="center" vertical="center" wrapText="1"/>
    </xf>
    <xf numFmtId="9" fontId="71" fillId="51" borderId="80" xfId="36" applyNumberFormat="1" applyFont="1" applyFill="1" applyBorder="1" applyAlignment="1">
      <alignment horizontal="center" vertical="center" wrapText="1"/>
    </xf>
    <xf numFmtId="165" fontId="71" fillId="51" borderId="82" xfId="36" applyNumberFormat="1" applyFont="1" applyFill="1" applyBorder="1" applyAlignment="1">
      <alignment vertical="center" wrapText="1"/>
    </xf>
    <xf numFmtId="164" fontId="69" fillId="52" borderId="70" xfId="36" applyNumberFormat="1" applyFont="1" applyFill="1" applyBorder="1" applyAlignment="1">
      <alignment vertical="center" wrapText="1"/>
    </xf>
    <xf numFmtId="165" fontId="71" fillId="52" borderId="69" xfId="36" applyNumberFormat="1" applyFont="1" applyFill="1" applyBorder="1" applyAlignment="1">
      <alignment horizontal="left" vertical="center" wrapText="1"/>
    </xf>
    <xf numFmtId="164" fontId="71" fillId="52" borderId="69" xfId="36" applyNumberFormat="1" applyFont="1" applyFill="1" applyBorder="1" applyAlignment="1">
      <alignment horizontal="center" vertical="center" wrapText="1"/>
    </xf>
    <xf numFmtId="10" fontId="70" fillId="52" borderId="74" xfId="36" applyNumberFormat="1" applyFont="1" applyFill="1" applyBorder="1" applyAlignment="1">
      <alignment horizontal="center" vertical="center" wrapText="1"/>
    </xf>
    <xf numFmtId="10" fontId="70" fillId="52" borderId="75" xfId="36" applyNumberFormat="1" applyFont="1" applyFill="1" applyBorder="1" applyAlignment="1">
      <alignment horizontal="center" vertical="center" wrapText="1"/>
    </xf>
    <xf numFmtId="9" fontId="71" fillId="52" borderId="69" xfId="36" applyNumberFormat="1" applyFont="1" applyFill="1" applyBorder="1" applyAlignment="1">
      <alignment horizontal="center" vertical="center" wrapText="1"/>
    </xf>
    <xf numFmtId="9" fontId="71" fillId="52" borderId="65" xfId="36" applyNumberFormat="1" applyFont="1" applyFill="1" applyBorder="1" applyAlignment="1">
      <alignment horizontal="center" vertical="center" wrapText="1"/>
    </xf>
    <xf numFmtId="164" fontId="71" fillId="52" borderId="65" xfId="36" applyNumberFormat="1" applyFont="1" applyFill="1" applyBorder="1" applyAlignment="1">
      <alignment vertical="center" wrapText="1"/>
    </xf>
    <xf numFmtId="165" fontId="71" fillId="52" borderId="64" xfId="36" applyNumberFormat="1" applyFont="1" applyFill="1" applyBorder="1" applyAlignment="1">
      <alignment vertical="center" wrapText="1"/>
    </xf>
    <xf numFmtId="164" fontId="69" fillId="52" borderId="88" xfId="36" applyNumberFormat="1" applyFont="1" applyFill="1" applyBorder="1" applyAlignment="1">
      <alignment vertical="center" wrapText="1"/>
    </xf>
    <xf numFmtId="165" fontId="71" fillId="52" borderId="84" xfId="36" applyNumberFormat="1" applyFont="1" applyFill="1" applyBorder="1" applyAlignment="1">
      <alignment horizontal="left" vertical="center" wrapText="1"/>
    </xf>
    <xf numFmtId="164" fontId="71" fillId="52" borderId="84" xfId="36" applyNumberFormat="1" applyFont="1" applyFill="1" applyBorder="1" applyAlignment="1">
      <alignment horizontal="center" vertical="center" wrapText="1"/>
    </xf>
    <xf numFmtId="10" fontId="70" fillId="52" borderId="88" xfId="36" applyNumberFormat="1" applyFont="1" applyFill="1" applyBorder="1" applyAlignment="1">
      <alignment horizontal="center" vertical="center" wrapText="1"/>
    </xf>
    <xf numFmtId="10" fontId="70" fillId="52" borderId="89" xfId="36" applyNumberFormat="1" applyFont="1" applyFill="1" applyBorder="1" applyAlignment="1">
      <alignment horizontal="center" vertical="center" wrapText="1"/>
    </xf>
    <xf numFmtId="9" fontId="71" fillId="52" borderId="84" xfId="36" applyNumberFormat="1" applyFont="1" applyFill="1" applyBorder="1" applyAlignment="1">
      <alignment horizontal="center" vertical="center" wrapText="1"/>
    </xf>
    <xf numFmtId="9" fontId="71" fillId="52" borderId="80" xfId="36" applyNumberFormat="1" applyFont="1" applyFill="1" applyBorder="1" applyAlignment="1">
      <alignment horizontal="center" vertical="center" wrapText="1"/>
    </xf>
    <xf numFmtId="164" fontId="71" fillId="52" borderId="80" xfId="36" applyNumberFormat="1" applyFont="1" applyFill="1" applyBorder="1" applyAlignment="1">
      <alignment vertical="center" wrapText="1"/>
    </xf>
    <xf numFmtId="165" fontId="71" fillId="52" borderId="82" xfId="36" applyNumberFormat="1" applyFont="1" applyFill="1" applyBorder="1" applyAlignment="1">
      <alignment vertical="center" wrapText="1"/>
    </xf>
    <xf numFmtId="10" fontId="70" fillId="51" borderId="74" xfId="36" applyNumberFormat="1" applyFont="1" applyFill="1" applyBorder="1" applyAlignment="1">
      <alignment horizontal="center" vertical="center" wrapText="1"/>
    </xf>
    <xf numFmtId="10" fontId="70" fillId="51" borderId="75" xfId="36" applyNumberFormat="1" applyFont="1" applyFill="1" applyBorder="1" applyAlignment="1">
      <alignment horizontal="center" vertical="center" wrapText="1"/>
    </xf>
    <xf numFmtId="10" fontId="70" fillId="51" borderId="88" xfId="36" applyNumberFormat="1" applyFont="1" applyFill="1" applyBorder="1" applyAlignment="1">
      <alignment horizontal="center" vertical="center" wrapText="1"/>
    </xf>
    <xf numFmtId="10" fontId="70" fillId="51" borderId="89" xfId="36" applyNumberFormat="1" applyFont="1" applyFill="1" applyBorder="1" applyAlignment="1">
      <alignment horizontal="center" vertical="center" wrapText="1"/>
    </xf>
    <xf numFmtId="2" fontId="71" fillId="51" borderId="65" xfId="36" applyNumberFormat="1" applyFont="1" applyFill="1" applyBorder="1" applyAlignment="1">
      <alignment vertical="center" wrapText="1"/>
    </xf>
    <xf numFmtId="165" fontId="71" fillId="51" borderId="69" xfId="36" applyNumberFormat="1" applyFont="1" applyFill="1" applyBorder="1" applyAlignment="1">
      <alignment horizontal="center" vertical="center" wrapText="1"/>
    </xf>
    <xf numFmtId="2" fontId="71" fillId="51" borderId="80" xfId="36" applyNumberFormat="1" applyFont="1" applyFill="1" applyBorder="1" applyAlignment="1">
      <alignment vertical="center" wrapText="1"/>
    </xf>
    <xf numFmtId="165" fontId="71" fillId="51" borderId="84" xfId="36" applyNumberFormat="1" applyFont="1" applyFill="1" applyBorder="1" applyAlignment="1">
      <alignment horizontal="center" vertical="center" wrapText="1"/>
    </xf>
    <xf numFmtId="165" fontId="71" fillId="52" borderId="69" xfId="36" applyNumberFormat="1" applyFont="1" applyFill="1" applyBorder="1" applyAlignment="1">
      <alignment horizontal="center" vertical="center" wrapText="1"/>
    </xf>
    <xf numFmtId="165" fontId="71" fillId="52" borderId="84" xfId="36" applyNumberFormat="1" applyFont="1" applyFill="1" applyBorder="1" applyAlignment="1">
      <alignment horizontal="center" vertical="center" wrapText="1"/>
    </xf>
    <xf numFmtId="10" fontId="70" fillId="51" borderId="70" xfId="36" applyNumberFormat="1" applyFont="1" applyFill="1" applyBorder="1" applyAlignment="1">
      <alignment horizontal="center" vertical="center" wrapText="1"/>
    </xf>
    <xf numFmtId="10" fontId="70" fillId="51" borderId="76" xfId="36" applyNumberFormat="1" applyFont="1" applyFill="1" applyBorder="1" applyAlignment="1">
      <alignment horizontal="center" vertical="center" wrapText="1"/>
    </xf>
    <xf numFmtId="10" fontId="71" fillId="52" borderId="72" xfId="36" applyNumberFormat="1" applyFont="1" applyFill="1" applyBorder="1" applyAlignment="1">
      <alignment horizontal="center" vertical="center" wrapText="1"/>
    </xf>
    <xf numFmtId="10" fontId="70" fillId="52" borderId="73" xfId="36" applyNumberFormat="1" applyFont="1" applyFill="1" applyBorder="1" applyAlignment="1">
      <alignment horizontal="center" vertical="center" wrapText="1"/>
    </xf>
    <xf numFmtId="10" fontId="71" fillId="52" borderId="85" xfId="36" applyNumberFormat="1" applyFont="1" applyFill="1" applyBorder="1" applyAlignment="1">
      <alignment horizontal="center" vertical="center" wrapText="1"/>
    </xf>
    <xf numFmtId="10" fontId="70" fillId="52" borderId="87" xfId="36" applyNumberFormat="1" applyFont="1" applyFill="1" applyBorder="1" applyAlignment="1">
      <alignment horizontal="center" vertical="center" wrapText="1"/>
    </xf>
    <xf numFmtId="165" fontId="71" fillId="52" borderId="77" xfId="36" applyNumberFormat="1" applyFont="1" applyFill="1" applyBorder="1" applyAlignment="1">
      <alignment vertical="center" wrapText="1"/>
    </xf>
    <xf numFmtId="10" fontId="70" fillId="52" borderId="70" xfId="36" applyNumberFormat="1" applyFont="1" applyFill="1" applyBorder="1" applyAlignment="1">
      <alignment horizontal="center" vertical="center" wrapText="1"/>
    </xf>
    <xf numFmtId="10" fontId="70" fillId="52" borderId="76" xfId="36" applyNumberFormat="1" applyFont="1" applyFill="1" applyBorder="1" applyAlignment="1">
      <alignment horizontal="center" vertical="center" wrapText="1"/>
    </xf>
    <xf numFmtId="165" fontId="71" fillId="51" borderId="77" xfId="36" applyNumberFormat="1" applyFont="1" applyFill="1" applyBorder="1" applyAlignment="1">
      <alignment vertical="center" wrapText="1"/>
    </xf>
    <xf numFmtId="10" fontId="71" fillId="51" borderId="66" xfId="36" applyNumberFormat="1" applyFont="1" applyFill="1" applyBorder="1" applyAlignment="1">
      <alignment horizontal="center" vertical="center" wrapText="1"/>
    </xf>
    <xf numFmtId="10" fontId="70" fillId="51" borderId="71" xfId="36" applyNumberFormat="1" applyFont="1" applyFill="1" applyBorder="1" applyAlignment="1">
      <alignment horizontal="center" vertical="center" wrapText="1"/>
    </xf>
    <xf numFmtId="165" fontId="69" fillId="52" borderId="65" xfId="36" applyNumberFormat="1" applyFont="1" applyFill="1" applyBorder="1" applyAlignment="1">
      <alignment horizontal="center" vertical="center" wrapText="1"/>
    </xf>
    <xf numFmtId="167" fontId="69" fillId="52" borderId="65" xfId="36" applyNumberFormat="1" applyFont="1" applyFill="1" applyBorder="1" applyAlignment="1">
      <alignment horizontal="center" vertical="center" wrapText="1"/>
    </xf>
    <xf numFmtId="165" fontId="69" fillId="52" borderId="80" xfId="36" applyNumberFormat="1" applyFont="1" applyFill="1" applyBorder="1" applyAlignment="1">
      <alignment horizontal="center" vertical="center" wrapText="1"/>
    </xf>
    <xf numFmtId="167" fontId="69" fillId="52" borderId="80" xfId="36" applyNumberFormat="1" applyFont="1" applyFill="1" applyBorder="1" applyAlignment="1">
      <alignment horizontal="center" vertical="center" wrapText="1"/>
    </xf>
    <xf numFmtId="0" fontId="69" fillId="51" borderId="69" xfId="36" applyNumberFormat="1" applyFont="1" applyFill="1" applyBorder="1" applyAlignment="1">
      <alignment horizontal="center" vertical="center" wrapText="1"/>
    </xf>
    <xf numFmtId="165" fontId="69" fillId="51" borderId="69" xfId="36" applyNumberFormat="1" applyFont="1" applyFill="1" applyBorder="1" applyAlignment="1">
      <alignment horizontal="center" vertical="center" wrapText="1"/>
    </xf>
    <xf numFmtId="49" fontId="71" fillId="51" borderId="65" xfId="36" applyNumberFormat="1" applyFont="1" applyFill="1" applyBorder="1" applyAlignment="1">
      <alignment horizontal="center" vertical="center" wrapText="1"/>
    </xf>
    <xf numFmtId="0" fontId="69" fillId="51" borderId="84" xfId="36" applyNumberFormat="1" applyFont="1" applyFill="1" applyBorder="1" applyAlignment="1">
      <alignment horizontal="center" vertical="center" wrapText="1"/>
    </xf>
    <xf numFmtId="165" fontId="69" fillId="51" borderId="84" xfId="36" applyNumberFormat="1" applyFont="1" applyFill="1" applyBorder="1" applyAlignment="1">
      <alignment horizontal="center" vertical="center" wrapText="1"/>
    </xf>
    <xf numFmtId="49" fontId="71" fillId="51" borderId="80" xfId="36" applyNumberFormat="1" applyFont="1" applyFill="1" applyBorder="1" applyAlignment="1">
      <alignment horizontal="center" vertical="center" wrapText="1"/>
    </xf>
    <xf numFmtId="0" fontId="71" fillId="52" borderId="69" xfId="36" applyNumberFormat="1" applyFont="1" applyFill="1" applyBorder="1" applyAlignment="1">
      <alignment horizontal="center" vertical="center" wrapText="1"/>
    </xf>
    <xf numFmtId="49" fontId="71" fillId="52" borderId="65" xfId="36" applyNumberFormat="1" applyFont="1" applyFill="1" applyBorder="1" applyAlignment="1">
      <alignment vertical="center" wrapText="1"/>
    </xf>
    <xf numFmtId="49" fontId="71" fillId="52" borderId="65" xfId="36" applyNumberFormat="1" applyFont="1" applyFill="1" applyBorder="1" applyAlignment="1">
      <alignment horizontal="center" vertical="center" wrapText="1"/>
    </xf>
    <xf numFmtId="0" fontId="71" fillId="52" borderId="84" xfId="36" applyNumberFormat="1" applyFont="1" applyFill="1" applyBorder="1" applyAlignment="1">
      <alignment horizontal="center" vertical="center" wrapText="1"/>
    </xf>
    <xf numFmtId="49" fontId="71" fillId="52" borderId="80" xfId="36" applyNumberFormat="1" applyFont="1" applyFill="1" applyBorder="1" applyAlignment="1">
      <alignment vertical="center" wrapText="1"/>
    </xf>
    <xf numFmtId="49" fontId="71" fillId="52" borderId="80" xfId="36" applyNumberFormat="1" applyFont="1" applyFill="1" applyBorder="1" applyAlignment="1">
      <alignment horizontal="center" vertical="center" wrapText="1"/>
    </xf>
    <xf numFmtId="0" fontId="71" fillId="51" borderId="69" xfId="36" applyNumberFormat="1" applyFont="1" applyFill="1" applyBorder="1" applyAlignment="1">
      <alignment horizontal="center" vertical="center" wrapText="1"/>
    </xf>
    <xf numFmtId="49" fontId="71" fillId="51" borderId="65" xfId="36" applyNumberFormat="1" applyFont="1" applyFill="1" applyBorder="1" applyAlignment="1">
      <alignment vertical="center" wrapText="1"/>
    </xf>
    <xf numFmtId="0" fontId="71" fillId="51" borderId="84" xfId="36" applyNumberFormat="1" applyFont="1" applyFill="1" applyBorder="1" applyAlignment="1">
      <alignment horizontal="center" vertical="center" wrapText="1"/>
    </xf>
    <xf numFmtId="49" fontId="71" fillId="51" borderId="80" xfId="36" applyNumberFormat="1" applyFont="1" applyFill="1" applyBorder="1" applyAlignment="1">
      <alignment vertical="center" wrapText="1"/>
    </xf>
    <xf numFmtId="165" fontId="69" fillId="51" borderId="70" xfId="36" applyNumberFormat="1" applyFont="1" applyFill="1" applyBorder="1" applyAlignment="1">
      <alignment vertical="center" wrapText="1"/>
    </xf>
    <xf numFmtId="165" fontId="69" fillId="51" borderId="88" xfId="36" applyNumberFormat="1" applyFont="1" applyFill="1" applyBorder="1" applyAlignment="1">
      <alignment vertical="center" wrapText="1"/>
    </xf>
    <xf numFmtId="165" fontId="71" fillId="52" borderId="70" xfId="36" applyNumberFormat="1" applyFont="1" applyFill="1" applyBorder="1" applyAlignment="1">
      <alignment horizontal="left" vertical="center" wrapText="1"/>
    </xf>
    <xf numFmtId="165" fontId="71" fillId="52" borderId="88" xfId="36" applyNumberFormat="1" applyFont="1" applyFill="1" applyBorder="1" applyAlignment="1">
      <alignment horizontal="left" vertical="center" wrapText="1"/>
    </xf>
    <xf numFmtId="165" fontId="71" fillId="52" borderId="66" xfId="36" applyNumberFormat="1" applyFont="1" applyFill="1" applyBorder="1" applyAlignment="1">
      <alignment horizontal="center" vertical="center" wrapText="1"/>
    </xf>
    <xf numFmtId="165" fontId="71" fillId="52" borderId="85" xfId="36" applyNumberFormat="1" applyFont="1" applyFill="1" applyBorder="1" applyAlignment="1">
      <alignment horizontal="center" vertical="center" wrapText="1"/>
    </xf>
    <xf numFmtId="165" fontId="71" fillId="51" borderId="66" xfId="36" applyNumberFormat="1" applyFont="1" applyFill="1" applyBorder="1" applyAlignment="1">
      <alignment horizontal="center" vertical="center" wrapText="1"/>
    </xf>
    <xf numFmtId="165" fontId="71" fillId="51" borderId="85" xfId="36" applyNumberFormat="1" applyFont="1" applyFill="1" applyBorder="1" applyAlignment="1">
      <alignment horizontal="center" vertical="center" wrapText="1"/>
    </xf>
    <xf numFmtId="0" fontId="69" fillId="52" borderId="69" xfId="36" applyNumberFormat="1" applyFont="1" applyFill="1" applyBorder="1" applyAlignment="1">
      <alignment horizontal="center" vertical="center" wrapText="1"/>
    </xf>
    <xf numFmtId="165" fontId="69" fillId="52" borderId="69" xfId="36" applyNumberFormat="1" applyFont="1" applyFill="1" applyBorder="1" applyAlignment="1">
      <alignment horizontal="center" vertical="center" wrapText="1"/>
    </xf>
    <xf numFmtId="165" fontId="69" fillId="52" borderId="64" xfId="36" applyNumberFormat="1" applyFont="1" applyFill="1" applyBorder="1" applyAlignment="1">
      <alignment vertical="center" wrapText="1"/>
    </xf>
    <xf numFmtId="0" fontId="69" fillId="52" borderId="84" xfId="36" applyNumberFormat="1" applyFont="1" applyFill="1" applyBorder="1" applyAlignment="1">
      <alignment horizontal="center" vertical="center" wrapText="1"/>
    </xf>
    <xf numFmtId="165" fontId="69" fillId="52" borderId="84" xfId="36" applyNumberFormat="1" applyFont="1" applyFill="1" applyBorder="1" applyAlignment="1">
      <alignment horizontal="center" vertical="center" wrapText="1"/>
    </xf>
    <xf numFmtId="165" fontId="69" fillId="52" borderId="82" xfId="36" applyNumberFormat="1" applyFont="1" applyFill="1" applyBorder="1" applyAlignment="1">
      <alignment vertical="center" wrapText="1"/>
    </xf>
    <xf numFmtId="165" fontId="69" fillId="52" borderId="70" xfId="36" applyNumberFormat="1" applyFont="1" applyFill="1" applyBorder="1" applyAlignment="1">
      <alignment vertical="center" wrapText="1"/>
    </xf>
    <xf numFmtId="165" fontId="69" fillId="52" borderId="88" xfId="36" applyNumberFormat="1" applyFont="1" applyFill="1" applyBorder="1" applyAlignment="1">
      <alignment vertical="center" wrapText="1"/>
    </xf>
    <xf numFmtId="49" fontId="70" fillId="52" borderId="64" xfId="36" applyNumberFormat="1" applyFont="1" applyFill="1" applyBorder="1" applyAlignment="1">
      <alignment vertical="center" wrapText="1"/>
    </xf>
    <xf numFmtId="49" fontId="70" fillId="52" borderId="82" xfId="36" applyNumberFormat="1" applyFont="1" applyFill="1" applyBorder="1" applyAlignment="1">
      <alignment vertical="center" wrapText="1"/>
    </xf>
    <xf numFmtId="165" fontId="71" fillId="52" borderId="70" xfId="36" applyNumberFormat="1" applyFont="1" applyFill="1" applyBorder="1" applyAlignment="1">
      <alignment vertical="center" wrapText="1"/>
    </xf>
    <xf numFmtId="165" fontId="71" fillId="52" borderId="88" xfId="36" applyNumberFormat="1" applyFont="1" applyFill="1" applyBorder="1" applyAlignment="1">
      <alignment vertical="center" wrapText="1"/>
    </xf>
    <xf numFmtId="165" fontId="71" fillId="51" borderId="70" xfId="36" applyNumberFormat="1" applyFont="1" applyFill="1" applyBorder="1" applyAlignment="1">
      <alignment vertical="center" wrapText="1"/>
    </xf>
    <xf numFmtId="165" fontId="71" fillId="51" borderId="88" xfId="36" applyNumberFormat="1" applyFont="1" applyFill="1" applyBorder="1" applyAlignment="1">
      <alignment vertical="center" wrapText="1"/>
    </xf>
    <xf numFmtId="165" fontId="69" fillId="52" borderId="69" xfId="36" applyNumberFormat="1" applyFont="1" applyFill="1" applyBorder="1" applyAlignment="1">
      <alignment vertical="center" wrapText="1"/>
    </xf>
    <xf numFmtId="165" fontId="69" fillId="52" borderId="84" xfId="36" applyNumberFormat="1" applyFont="1" applyFill="1" applyBorder="1" applyAlignment="1">
      <alignment vertical="center" wrapText="1"/>
    </xf>
    <xf numFmtId="165" fontId="71" fillId="51" borderId="69" xfId="36" applyNumberFormat="1" applyFont="1" applyFill="1" applyBorder="1" applyAlignment="1">
      <alignment vertical="center" wrapText="1"/>
    </xf>
    <xf numFmtId="165" fontId="71" fillId="51" borderId="84" xfId="36" applyNumberFormat="1" applyFont="1" applyFill="1" applyBorder="1" applyAlignment="1">
      <alignment vertical="center" wrapText="1"/>
    </xf>
    <xf numFmtId="165" fontId="71" fillId="52" borderId="69" xfId="36" applyNumberFormat="1" applyFont="1" applyFill="1" applyBorder="1" applyAlignment="1">
      <alignment vertical="center" wrapText="1"/>
    </xf>
    <xf numFmtId="165" fontId="71" fillId="52" borderId="84" xfId="36" applyNumberFormat="1" applyFont="1" applyFill="1" applyBorder="1" applyAlignment="1">
      <alignment vertical="center" wrapText="1"/>
    </xf>
    <xf numFmtId="165" fontId="69" fillId="51" borderId="69" xfId="36" applyNumberFormat="1" applyFont="1" applyFill="1" applyBorder="1" applyAlignment="1">
      <alignment vertical="center" wrapText="1"/>
    </xf>
    <xf numFmtId="165" fontId="69" fillId="51" borderId="84" xfId="36" applyNumberFormat="1" applyFont="1" applyFill="1" applyBorder="1" applyAlignment="1">
      <alignment vertical="center" wrapText="1"/>
    </xf>
    <xf numFmtId="0" fontId="71" fillId="52" borderId="65" xfId="36" applyNumberFormat="1" applyFont="1" applyFill="1" applyBorder="1" applyAlignment="1">
      <alignment vertical="center" wrapText="1"/>
    </xf>
    <xf numFmtId="0" fontId="71" fillId="52" borderId="80" xfId="36" applyNumberFormat="1" applyFont="1" applyFill="1" applyBorder="1" applyAlignment="1">
      <alignment vertical="center" wrapText="1"/>
    </xf>
    <xf numFmtId="0" fontId="71" fillId="51" borderId="65" xfId="36" applyNumberFormat="1" applyFont="1" applyFill="1" applyBorder="1" applyAlignment="1">
      <alignment vertical="center" wrapText="1"/>
    </xf>
    <xf numFmtId="0" fontId="71" fillId="51" borderId="80" xfId="36" applyNumberFormat="1" applyFont="1" applyFill="1" applyBorder="1" applyAlignment="1">
      <alignment vertical="center" wrapText="1"/>
    </xf>
    <xf numFmtId="164" fontId="69" fillId="52" borderId="64" xfId="36" applyNumberFormat="1" applyFont="1" applyFill="1" applyBorder="1" applyAlignment="1">
      <alignment vertical="center" wrapText="1"/>
    </xf>
    <xf numFmtId="164" fontId="69" fillId="52" borderId="82" xfId="36" applyNumberFormat="1" applyFont="1" applyFill="1" applyBorder="1" applyAlignment="1">
      <alignment vertical="center" wrapText="1"/>
    </xf>
    <xf numFmtId="165" fontId="71" fillId="51" borderId="66" xfId="36" applyNumberFormat="1" applyFont="1" applyFill="1" applyBorder="1" applyAlignment="1">
      <alignment vertical="center" wrapText="1"/>
    </xf>
    <xf numFmtId="165" fontId="71" fillId="51" borderId="85" xfId="36" applyNumberFormat="1" applyFont="1" applyFill="1" applyBorder="1" applyAlignment="1">
      <alignment vertical="center" wrapText="1"/>
    </xf>
    <xf numFmtId="165" fontId="71" fillId="52" borderId="66" xfId="36" applyNumberFormat="1" applyFont="1" applyFill="1" applyBorder="1" applyAlignment="1">
      <alignment vertical="center" wrapText="1"/>
    </xf>
    <xf numFmtId="165" fontId="71" fillId="52" borderId="85" xfId="36" applyNumberFormat="1" applyFont="1" applyFill="1" applyBorder="1" applyAlignment="1">
      <alignment vertical="center" wrapText="1"/>
    </xf>
    <xf numFmtId="0" fontId="69" fillId="53" borderId="67" xfId="36" applyNumberFormat="1" applyFont="1" applyFill="1" applyBorder="1" applyAlignment="1">
      <alignment horizontal="center" vertical="center" wrapText="1"/>
    </xf>
    <xf numFmtId="165" fontId="69" fillId="53" borderId="68" xfId="36" applyNumberFormat="1" applyFont="1" applyFill="1" applyBorder="1" applyAlignment="1">
      <alignment horizontal="center" vertical="center" wrapText="1"/>
    </xf>
    <xf numFmtId="165" fontId="69" fillId="53" borderId="68" xfId="36" applyNumberFormat="1" applyFont="1" applyFill="1" applyBorder="1" applyAlignment="1">
      <alignment vertical="center" wrapText="1"/>
    </xf>
    <xf numFmtId="165" fontId="71" fillId="53" borderId="68" xfId="36" applyNumberFormat="1" applyFont="1" applyFill="1" applyBorder="1" applyAlignment="1">
      <alignment horizontal="left" vertical="center" wrapText="1"/>
    </xf>
    <xf numFmtId="165" fontId="71" fillId="53" borderId="68" xfId="36" applyNumberFormat="1" applyFont="1" applyFill="1" applyBorder="1" applyAlignment="1">
      <alignment horizontal="center" vertical="center" wrapText="1"/>
    </xf>
    <xf numFmtId="0" fontId="71" fillId="53" borderId="68" xfId="36" applyNumberFormat="1" applyFont="1" applyFill="1" applyBorder="1" applyAlignment="1">
      <alignment horizontal="center" vertical="center" wrapText="1"/>
    </xf>
    <xf numFmtId="164" fontId="71" fillId="53" borderId="68" xfId="36" applyNumberFormat="1" applyFont="1" applyFill="1" applyBorder="1" applyAlignment="1">
      <alignment vertical="center" wrapText="1"/>
    </xf>
    <xf numFmtId="10" fontId="69" fillId="53" borderId="65" xfId="36" applyNumberFormat="1" applyFont="1" applyFill="1" applyBorder="1" applyAlignment="1">
      <alignment horizontal="center" vertical="center" wrapText="1"/>
    </xf>
    <xf numFmtId="164" fontId="69" fillId="53" borderId="65" xfId="36" applyNumberFormat="1" applyFont="1" applyFill="1" applyBorder="1" applyAlignment="1">
      <alignment vertical="center" wrapText="1"/>
    </xf>
    <xf numFmtId="164" fontId="71" fillId="53" borderId="64" xfId="36" applyNumberFormat="1" applyFont="1" applyFill="1" applyBorder="1" applyAlignment="1">
      <alignment vertical="center" wrapText="1"/>
    </xf>
    <xf numFmtId="165" fontId="71" fillId="53" borderId="64" xfId="36" applyNumberFormat="1" applyFont="1" applyFill="1" applyBorder="1" applyAlignment="1">
      <alignment vertical="center" wrapText="1"/>
    </xf>
    <xf numFmtId="0" fontId="72" fillId="53" borderId="67" xfId="36" applyNumberFormat="1" applyFont="1" applyFill="1" applyBorder="1" applyAlignment="1">
      <alignment horizontal="center" vertical="center" wrapText="1"/>
    </xf>
    <xf numFmtId="165" fontId="72" fillId="53" borderId="68" xfId="36" applyNumberFormat="1" applyFont="1" applyFill="1" applyBorder="1" applyAlignment="1">
      <alignment horizontal="center" vertical="center" wrapText="1"/>
    </xf>
    <xf numFmtId="165" fontId="72" fillId="53" borderId="68" xfId="36" applyNumberFormat="1" applyFont="1" applyFill="1" applyBorder="1" applyAlignment="1">
      <alignment vertical="center" wrapText="1"/>
    </xf>
    <xf numFmtId="165" fontId="72" fillId="53" borderId="68" xfId="36" applyNumberFormat="1" applyFont="1" applyFill="1" applyBorder="1" applyAlignment="1">
      <alignment horizontal="left" vertical="center" wrapText="1"/>
    </xf>
    <xf numFmtId="0" fontId="72" fillId="53" borderId="68" xfId="36" applyNumberFormat="1" applyFont="1" applyFill="1" applyBorder="1" applyAlignment="1">
      <alignment horizontal="center" vertical="center" wrapText="1"/>
    </xf>
    <xf numFmtId="164" fontId="72" fillId="53" borderId="68" xfId="36" applyNumberFormat="1" applyFont="1" applyFill="1" applyBorder="1" applyAlignment="1">
      <alignment vertical="center" wrapText="1"/>
    </xf>
    <xf numFmtId="10" fontId="72" fillId="53" borderId="65" xfId="36" applyNumberFormat="1" applyFont="1" applyFill="1" applyBorder="1" applyAlignment="1">
      <alignment horizontal="center" vertical="center" wrapText="1"/>
    </xf>
    <xf numFmtId="164" fontId="72" fillId="53" borderId="65" xfId="36" applyNumberFormat="1" applyFont="1" applyFill="1" applyBorder="1" applyAlignment="1">
      <alignment vertical="center" wrapText="1"/>
    </xf>
    <xf numFmtId="164" fontId="72" fillId="53" borderId="64" xfId="36" applyNumberFormat="1" applyFont="1" applyFill="1" applyBorder="1" applyAlignment="1">
      <alignment vertical="center" wrapText="1"/>
    </xf>
    <xf numFmtId="165" fontId="72" fillId="53" borderId="64" xfId="36" applyNumberFormat="1" applyFont="1" applyFill="1" applyBorder="1" applyAlignment="1">
      <alignment vertical="center" wrapText="1"/>
    </xf>
    <xf numFmtId="0" fontId="72" fillId="53" borderId="90" xfId="36" applyNumberFormat="1" applyFont="1" applyFill="1" applyBorder="1" applyAlignment="1">
      <alignment horizontal="center" vertical="center" wrapText="1"/>
    </xf>
    <xf numFmtId="165" fontId="72" fillId="53" borderId="91" xfId="36" applyNumberFormat="1" applyFont="1" applyFill="1" applyBorder="1" applyAlignment="1">
      <alignment horizontal="center" vertical="center" wrapText="1"/>
    </xf>
    <xf numFmtId="165" fontId="72" fillId="53" borderId="91" xfId="36" applyNumberFormat="1" applyFont="1" applyFill="1" applyBorder="1" applyAlignment="1">
      <alignment vertical="center" wrapText="1"/>
    </xf>
    <xf numFmtId="165" fontId="72" fillId="53" borderId="91" xfId="36" applyNumberFormat="1" applyFont="1" applyFill="1" applyBorder="1" applyAlignment="1">
      <alignment horizontal="left" vertical="center" wrapText="1"/>
    </xf>
    <xf numFmtId="0" fontId="72" fillId="53" borderId="91" xfId="36" applyNumberFormat="1" applyFont="1" applyFill="1" applyBorder="1" applyAlignment="1">
      <alignment horizontal="center" vertical="center" wrapText="1"/>
    </xf>
    <xf numFmtId="164" fontId="72" fillId="53" borderId="91" xfId="36" applyNumberFormat="1" applyFont="1" applyFill="1" applyBorder="1" applyAlignment="1">
      <alignment vertical="center" wrapText="1"/>
    </xf>
    <xf numFmtId="10" fontId="72" fillId="53" borderId="81" xfId="36" applyNumberFormat="1" applyFont="1" applyFill="1" applyBorder="1" applyAlignment="1">
      <alignment horizontal="center" vertical="center" wrapText="1"/>
    </xf>
    <xf numFmtId="164" fontId="72" fillId="53" borderId="81" xfId="36" applyNumberFormat="1" applyFont="1" applyFill="1" applyBorder="1" applyAlignment="1">
      <alignment vertical="center" wrapText="1"/>
    </xf>
    <xf numFmtId="164" fontId="72" fillId="53" borderId="83" xfId="36" applyNumberFormat="1" applyFont="1" applyFill="1" applyBorder="1" applyAlignment="1">
      <alignment vertical="center" wrapText="1"/>
    </xf>
    <xf numFmtId="165" fontId="72" fillId="53" borderId="83" xfId="36" applyNumberFormat="1" applyFont="1" applyFill="1" applyBorder="1" applyAlignment="1">
      <alignment vertical="center" wrapText="1"/>
    </xf>
    <xf numFmtId="164" fontId="72" fillId="53" borderId="91" xfId="36" applyNumberFormat="1" applyFont="1" applyFill="1" applyBorder="1" applyAlignment="1">
      <alignment horizontal="center" vertical="center" wrapText="1"/>
    </xf>
    <xf numFmtId="164" fontId="72" fillId="53" borderId="81" xfId="36" applyNumberFormat="1" applyFont="1" applyFill="1" applyBorder="1" applyAlignment="1">
      <alignment horizontal="center" vertical="center" wrapText="1"/>
    </xf>
    <xf numFmtId="164" fontId="72" fillId="53" borderId="83" xfId="36" applyNumberFormat="1" applyFont="1" applyFill="1" applyBorder="1" applyAlignment="1">
      <alignment horizontal="center" vertical="center" wrapText="1"/>
    </xf>
    <xf numFmtId="165" fontId="72" fillId="53" borderId="83" xfId="36" applyNumberFormat="1" applyFont="1" applyFill="1" applyBorder="1" applyAlignment="1">
      <alignment horizontal="center" vertical="center" wrapText="1"/>
    </xf>
    <xf numFmtId="10" fontId="71" fillId="51" borderId="85" xfId="36" applyNumberFormat="1" applyFont="1" applyFill="1" applyBorder="1" applyAlignment="1">
      <alignment horizontal="right" vertical="center" wrapText="1"/>
    </xf>
    <xf numFmtId="9" fontId="71" fillId="51" borderId="84" xfId="36" applyNumberFormat="1" applyFont="1" applyFill="1" applyBorder="1" applyAlignment="1">
      <alignment horizontal="right" vertical="center" wrapText="1"/>
    </xf>
    <xf numFmtId="9" fontId="71" fillId="51" borderId="80" xfId="36" applyNumberFormat="1" applyFont="1" applyFill="1" applyBorder="1" applyAlignment="1">
      <alignment horizontal="right" vertical="center" wrapText="1"/>
    </xf>
    <xf numFmtId="0" fontId="78" fillId="52" borderId="80" xfId="36" applyNumberFormat="1" applyFont="1" applyFill="1" applyBorder="1" applyAlignment="1">
      <alignment horizontal="center" vertical="center" wrapText="1"/>
    </xf>
    <xf numFmtId="0" fontId="78" fillId="52" borderId="80" xfId="36" applyNumberFormat="1" applyFont="1" applyFill="1" applyBorder="1" applyAlignment="1">
      <alignment horizontal="right" vertical="center" wrapText="1"/>
    </xf>
    <xf numFmtId="9" fontId="71" fillId="52" borderId="84" xfId="36" applyNumberFormat="1" applyFont="1" applyFill="1" applyBorder="1" applyAlignment="1">
      <alignment horizontal="right" vertical="center" wrapText="1"/>
    </xf>
    <xf numFmtId="9" fontId="71" fillId="52" borderId="80" xfId="36" applyNumberFormat="1" applyFont="1" applyFill="1" applyBorder="1" applyAlignment="1">
      <alignment horizontal="right" vertical="center" wrapText="1"/>
    </xf>
    <xf numFmtId="10" fontId="71" fillId="52" borderId="85" xfId="36" applyNumberFormat="1" applyFont="1" applyFill="1" applyBorder="1" applyAlignment="1">
      <alignment horizontal="right" vertical="center" wrapText="1"/>
    </xf>
    <xf numFmtId="164" fontId="71" fillId="52" borderId="82" xfId="36" applyNumberFormat="1" applyFont="1" applyFill="1" applyBorder="1" applyAlignment="1">
      <alignment vertical="center" wrapText="1"/>
    </xf>
    <xf numFmtId="0" fontId="79" fillId="52" borderId="84" xfId="36" applyNumberFormat="1" applyFont="1" applyFill="1" applyBorder="1" applyAlignment="1">
      <alignment horizontal="center" vertical="center" wrapText="1"/>
    </xf>
    <xf numFmtId="165" fontId="79" fillId="52" borderId="84" xfId="36" applyNumberFormat="1" applyFont="1" applyFill="1" applyBorder="1" applyAlignment="1">
      <alignment horizontal="center" vertical="center" wrapText="1"/>
    </xf>
    <xf numFmtId="165" fontId="79" fillId="52" borderId="80" xfId="36" applyNumberFormat="1" applyFont="1" applyFill="1" applyBorder="1" applyAlignment="1">
      <alignment vertical="center" wrapText="1"/>
    </xf>
    <xf numFmtId="165" fontId="79" fillId="52" borderId="80" xfId="36" applyNumberFormat="1" applyFont="1" applyFill="1" applyBorder="1" applyAlignment="1">
      <alignment horizontal="left" vertical="center" wrapText="1"/>
    </xf>
    <xf numFmtId="165" fontId="79" fillId="52" borderId="80" xfId="36" applyNumberFormat="1" applyFont="1" applyFill="1" applyBorder="1" applyAlignment="1">
      <alignment horizontal="center" vertical="center" wrapText="1"/>
    </xf>
    <xf numFmtId="49" fontId="79" fillId="52" borderId="80" xfId="36" applyNumberFormat="1" applyFont="1" applyFill="1" applyBorder="1" applyAlignment="1">
      <alignment horizontal="center" vertical="center" wrapText="1"/>
    </xf>
    <xf numFmtId="0" fontId="79" fillId="52" borderId="80" xfId="36" applyNumberFormat="1" applyFont="1" applyFill="1" applyBorder="1" applyAlignment="1">
      <alignment horizontal="center" vertical="center" wrapText="1"/>
    </xf>
    <xf numFmtId="165" fontId="80" fillId="52" borderId="80" xfId="36" applyNumberFormat="1" applyFont="1" applyFill="1" applyBorder="1" applyAlignment="1">
      <alignment vertical="center" wrapText="1"/>
    </xf>
    <xf numFmtId="9" fontId="80" fillId="52" borderId="80" xfId="36" applyNumberFormat="1" applyFont="1" applyFill="1" applyBorder="1" applyAlignment="1">
      <alignment horizontal="center" vertical="center" wrapText="1"/>
    </xf>
    <xf numFmtId="164" fontId="80" fillId="52" borderId="82" xfId="36" applyNumberFormat="1" applyFont="1" applyFill="1" applyBorder="1" applyAlignment="1">
      <alignment vertical="center" wrapText="1"/>
    </xf>
    <xf numFmtId="165" fontId="79" fillId="52" borderId="82" xfId="36" applyNumberFormat="1" applyFont="1" applyFill="1" applyBorder="1" applyAlignment="1">
      <alignment vertical="center" wrapText="1"/>
    </xf>
    <xf numFmtId="164" fontId="79" fillId="52" borderId="82" xfId="36" applyNumberFormat="1" applyFont="1" applyFill="1" applyBorder="1" applyAlignment="1">
      <alignment vertical="center" wrapText="1"/>
    </xf>
    <xf numFmtId="0" fontId="79" fillId="52" borderId="92" xfId="36" applyNumberFormat="1" applyFont="1" applyFill="1" applyBorder="1" applyAlignment="1">
      <alignment horizontal="center" vertical="center" wrapText="1"/>
    </xf>
    <xf numFmtId="165" fontId="79" fillId="52" borderId="92" xfId="36" applyNumberFormat="1" applyFont="1" applyFill="1" applyBorder="1" applyAlignment="1">
      <alignment horizontal="center" vertical="center" wrapText="1"/>
    </xf>
    <xf numFmtId="165" fontId="79" fillId="52" borderId="93" xfId="36" applyNumberFormat="1" applyFont="1" applyFill="1" applyBorder="1" applyAlignment="1">
      <alignment vertical="center" wrapText="1"/>
    </xf>
    <xf numFmtId="165" fontId="79" fillId="52" borderId="93" xfId="36" applyNumberFormat="1" applyFont="1" applyFill="1" applyBorder="1" applyAlignment="1">
      <alignment horizontal="left" vertical="center" wrapText="1"/>
    </xf>
    <xf numFmtId="165" fontId="79" fillId="52" borderId="93" xfId="36" applyNumberFormat="1" applyFont="1" applyFill="1" applyBorder="1" applyAlignment="1">
      <alignment horizontal="center" vertical="center" wrapText="1"/>
    </xf>
    <xf numFmtId="49" fontId="79" fillId="52" borderId="93" xfId="36" applyNumberFormat="1" applyFont="1" applyFill="1" applyBorder="1" applyAlignment="1">
      <alignment horizontal="center" vertical="center" wrapText="1"/>
    </xf>
    <xf numFmtId="0" fontId="79" fillId="52" borderId="93" xfId="36" applyNumberFormat="1" applyFont="1" applyFill="1" applyBorder="1" applyAlignment="1">
      <alignment horizontal="center" vertical="center" wrapText="1"/>
    </xf>
    <xf numFmtId="165" fontId="80" fillId="52" borderId="93" xfId="36" applyNumberFormat="1" applyFont="1" applyFill="1" applyBorder="1" applyAlignment="1">
      <alignment vertical="center" wrapText="1"/>
    </xf>
    <xf numFmtId="9" fontId="80" fillId="52" borderId="93" xfId="36" applyNumberFormat="1" applyFont="1" applyFill="1" applyBorder="1" applyAlignment="1">
      <alignment horizontal="center" vertical="center" wrapText="1"/>
    </xf>
    <xf numFmtId="164" fontId="80" fillId="52" borderId="94" xfId="36" applyNumberFormat="1" applyFont="1" applyFill="1" applyBorder="1" applyAlignment="1">
      <alignment vertical="center" wrapText="1"/>
    </xf>
    <xf numFmtId="165" fontId="79" fillId="52" borderId="94" xfId="36" applyNumberFormat="1" applyFont="1" applyFill="1" applyBorder="1" applyAlignment="1">
      <alignment vertical="center" wrapText="1"/>
    </xf>
    <xf numFmtId="164" fontId="79" fillId="52" borderId="94" xfId="36" applyNumberFormat="1" applyFont="1" applyFill="1" applyBorder="1" applyAlignment="1">
      <alignment vertical="center" wrapText="1"/>
    </xf>
    <xf numFmtId="0" fontId="76" fillId="52" borderId="92" xfId="36" applyNumberFormat="1" applyFont="1" applyFill="1" applyBorder="1" applyAlignment="1">
      <alignment horizontal="center" vertical="center" wrapText="1"/>
    </xf>
    <xf numFmtId="0" fontId="76" fillId="52" borderId="92" xfId="36" applyNumberFormat="1" applyFont="1" applyFill="1" applyBorder="1" applyAlignment="1">
      <alignment horizontal="right" vertical="center" wrapText="1"/>
    </xf>
    <xf numFmtId="165" fontId="69" fillId="52" borderId="93" xfId="36" applyNumberFormat="1" applyFont="1" applyFill="1" applyBorder="1" applyAlignment="1">
      <alignment vertical="center" wrapText="1"/>
    </xf>
    <xf numFmtId="165" fontId="69" fillId="52" borderId="93" xfId="36" applyNumberFormat="1" applyFont="1" applyFill="1" applyBorder="1" applyAlignment="1">
      <alignment horizontal="right" vertical="center" wrapText="1"/>
    </xf>
    <xf numFmtId="164" fontId="81" fillId="52" borderId="94" xfId="36" applyNumberFormat="1" applyFont="1" applyFill="1" applyBorder="1" applyAlignment="1">
      <alignment vertical="center" wrapText="1"/>
    </xf>
    <xf numFmtId="164" fontId="81" fillId="52" borderId="94" xfId="36" applyNumberFormat="1" applyFont="1" applyFill="1" applyBorder="1" applyAlignment="1">
      <alignment horizontal="right" vertical="center" wrapText="1"/>
    </xf>
    <xf numFmtId="164" fontId="69" fillId="52" borderId="94" xfId="36" applyNumberFormat="1" applyFont="1" applyFill="1" applyBorder="1" applyAlignment="1">
      <alignment vertical="center" wrapText="1"/>
    </xf>
    <xf numFmtId="164" fontId="69" fillId="52" borderId="94" xfId="36" applyNumberFormat="1" applyFont="1" applyFill="1" applyBorder="1" applyAlignment="1">
      <alignment horizontal="right" vertical="center" wrapText="1"/>
    </xf>
    <xf numFmtId="9" fontId="70" fillId="52" borderId="80" xfId="36" applyNumberFormat="1" applyFont="1" applyFill="1" applyBorder="1" applyAlignment="1">
      <alignment horizontal="right" vertical="center" wrapText="1"/>
    </xf>
    <xf numFmtId="9" fontId="70" fillId="51" borderId="80" xfId="36" applyNumberFormat="1" applyFont="1" applyFill="1" applyBorder="1" applyAlignment="1">
      <alignment horizontal="right" vertical="center" wrapText="1"/>
    </xf>
    <xf numFmtId="165" fontId="79" fillId="52" borderId="88" xfId="36" applyNumberFormat="1" applyFont="1" applyFill="1" applyBorder="1" applyAlignment="1">
      <alignment vertical="center" wrapText="1"/>
    </xf>
    <xf numFmtId="49" fontId="79" fillId="52" borderId="80" xfId="36" applyNumberFormat="1" applyFont="1" applyFill="1" applyBorder="1" applyAlignment="1">
      <alignment vertical="center" wrapText="1"/>
    </xf>
    <xf numFmtId="165" fontId="79" fillId="52" borderId="95" xfId="36" applyNumberFormat="1" applyFont="1" applyFill="1" applyBorder="1" applyAlignment="1">
      <alignment vertical="center" wrapText="1"/>
    </xf>
    <xf numFmtId="49" fontId="79" fillId="52" borderId="93" xfId="36" applyNumberFormat="1" applyFont="1" applyFill="1" applyBorder="1" applyAlignment="1">
      <alignment vertical="center" wrapText="1"/>
    </xf>
    <xf numFmtId="165" fontId="69" fillId="52" borderId="95" xfId="36" applyNumberFormat="1" applyFont="1" applyFill="1" applyBorder="1" applyAlignment="1">
      <alignment vertical="center" wrapText="1"/>
    </xf>
    <xf numFmtId="165" fontId="69" fillId="52" borderId="95" xfId="36" applyNumberFormat="1" applyFont="1" applyFill="1" applyBorder="1" applyAlignment="1">
      <alignment horizontal="right" vertical="center" wrapText="1"/>
    </xf>
    <xf numFmtId="165" fontId="73" fillId="52" borderId="80" xfId="36" applyNumberFormat="1" applyFont="1" applyFill="1" applyBorder="1" applyAlignment="1">
      <alignment vertical="center" wrapText="1"/>
    </xf>
    <xf numFmtId="165" fontId="73" fillId="52" borderId="80" xfId="36" applyNumberFormat="1" applyFont="1" applyFill="1" applyBorder="1" applyAlignment="1">
      <alignment horizontal="right" vertical="center" wrapText="1"/>
    </xf>
    <xf numFmtId="165" fontId="73" fillId="51" borderId="80" xfId="36" applyNumberFormat="1" applyFont="1" applyFill="1" applyBorder="1" applyAlignment="1">
      <alignment vertical="center" wrapText="1"/>
    </xf>
    <xf numFmtId="165" fontId="69" fillId="52" borderId="94" xfId="36" applyNumberFormat="1" applyFont="1" applyFill="1" applyBorder="1" applyAlignment="1">
      <alignment vertical="center" wrapText="1"/>
    </xf>
    <xf numFmtId="165" fontId="69" fillId="52" borderId="94" xfId="36" applyNumberFormat="1" applyFont="1" applyFill="1" applyBorder="1" applyAlignment="1">
      <alignment horizontal="right" vertical="center" wrapText="1"/>
    </xf>
    <xf numFmtId="165" fontId="79" fillId="52" borderId="84" xfId="36" applyNumberFormat="1" applyFont="1" applyFill="1" applyBorder="1" applyAlignment="1">
      <alignment vertical="center" wrapText="1"/>
    </xf>
    <xf numFmtId="165" fontId="79" fillId="52" borderId="92" xfId="36" applyNumberFormat="1" applyFont="1" applyFill="1" applyBorder="1" applyAlignment="1">
      <alignment vertical="center" wrapText="1"/>
    </xf>
    <xf numFmtId="165" fontId="69" fillId="52" borderId="92" xfId="36" applyNumberFormat="1" applyFont="1" applyFill="1" applyBorder="1" applyAlignment="1">
      <alignment vertical="center" wrapText="1"/>
    </xf>
    <xf numFmtId="165" fontId="69" fillId="52" borderId="92" xfId="36" applyNumberFormat="1" applyFont="1" applyFill="1" applyBorder="1" applyAlignment="1">
      <alignment horizontal="right" vertical="center" wrapText="1"/>
    </xf>
    <xf numFmtId="165" fontId="78" fillId="51" borderId="80" xfId="36" applyNumberFormat="1" applyFont="1" applyFill="1" applyBorder="1" applyAlignment="1">
      <alignment vertical="center" wrapText="1"/>
    </xf>
    <xf numFmtId="165" fontId="78" fillId="51" borderId="80" xfId="36" applyNumberFormat="1" applyFont="1" applyFill="1" applyBorder="1" applyAlignment="1">
      <alignment horizontal="right" vertical="center" wrapText="1"/>
    </xf>
    <xf numFmtId="0" fontId="69" fillId="52" borderId="93" xfId="36" applyNumberFormat="1" applyFont="1" applyFill="1" applyBorder="1" applyAlignment="1">
      <alignment horizontal="center" vertical="center" wrapText="1"/>
    </xf>
    <xf numFmtId="0" fontId="69" fillId="52" borderId="93" xfId="36" applyNumberFormat="1" applyFont="1" applyFill="1" applyBorder="1" applyAlignment="1">
      <alignment horizontal="right" vertical="center" wrapText="1"/>
    </xf>
    <xf numFmtId="0" fontId="78" fillId="52" borderId="80" xfId="36" applyNumberFormat="1" applyFont="1" applyFill="1" applyBorder="1" applyAlignment="1">
      <alignment vertical="center" wrapText="1"/>
    </xf>
    <xf numFmtId="0" fontId="71" fillId="52" borderId="80" xfId="36" applyNumberFormat="1" applyFont="1" applyFill="1" applyBorder="1" applyAlignment="1">
      <alignment horizontal="right" vertical="center" wrapText="1"/>
    </xf>
    <xf numFmtId="0" fontId="78" fillId="51" borderId="80" xfId="36" applyNumberFormat="1" applyFont="1" applyFill="1" applyBorder="1" applyAlignment="1">
      <alignment vertical="center" wrapText="1"/>
    </xf>
    <xf numFmtId="0" fontId="71" fillId="51" borderId="80" xfId="36" applyNumberFormat="1" applyFont="1" applyFill="1" applyBorder="1" applyAlignment="1">
      <alignment horizontal="right" vertical="center" wrapText="1"/>
    </xf>
    <xf numFmtId="165" fontId="69" fillId="52" borderId="80" xfId="36" applyNumberFormat="1" applyFont="1" applyFill="1" applyBorder="1" applyAlignment="1">
      <alignment horizontal="left" vertical="center" wrapText="1"/>
    </xf>
    <xf numFmtId="165" fontId="69" fillId="52" borderId="93" xfId="36" applyNumberFormat="1" applyFont="1" applyFill="1" applyBorder="1" applyAlignment="1">
      <alignment horizontal="left" vertical="center" wrapText="1"/>
    </xf>
    <xf numFmtId="0" fontId="76" fillId="52" borderId="84" xfId="36" applyNumberFormat="1" applyFont="1" applyFill="1" applyBorder="1" applyAlignment="1">
      <alignment horizontal="center" vertical="center" wrapText="1"/>
    </xf>
    <xf numFmtId="0" fontId="76" fillId="52" borderId="84" xfId="36" applyNumberFormat="1" applyFont="1" applyFill="1" applyBorder="1" applyAlignment="1">
      <alignment horizontal="right" vertical="center" wrapText="1"/>
    </xf>
    <xf numFmtId="165" fontId="69" fillId="52" borderId="84" xfId="36" applyNumberFormat="1" applyFont="1" applyFill="1" applyBorder="1" applyAlignment="1">
      <alignment horizontal="right" vertical="center" wrapText="1"/>
    </xf>
    <xf numFmtId="165" fontId="69" fillId="52" borderId="80" xfId="36" applyNumberFormat="1" applyFont="1" applyFill="1" applyBorder="1" applyAlignment="1">
      <alignment horizontal="right" vertical="center" wrapText="1"/>
    </xf>
    <xf numFmtId="165" fontId="70" fillId="42" borderId="65" xfId="36" applyNumberFormat="1" applyFont="1" applyFill="1" applyBorder="1"/>
    <xf numFmtId="165" fontId="70" fillId="42" borderId="65" xfId="36" applyNumberFormat="1" applyFont="1" applyFill="1" applyBorder="1" applyAlignment="1">
      <alignment wrapText="1"/>
    </xf>
    <xf numFmtId="165" fontId="70" fillId="42" borderId="65" xfId="36" applyNumberFormat="1" applyFont="1" applyFill="1" applyBorder="1" applyAlignment="1">
      <alignment vertical="center" wrapText="1"/>
    </xf>
    <xf numFmtId="0" fontId="72" fillId="54" borderId="81" xfId="24" applyNumberFormat="1" applyFont="1" applyFill="1" applyBorder="1" applyAlignment="1">
      <alignment horizontal="center" vertical="center" wrapText="1"/>
    </xf>
    <xf numFmtId="165" fontId="72" fillId="54" borderId="81" xfId="24" applyNumberFormat="1" applyFont="1" applyFill="1" applyBorder="1" applyAlignment="1">
      <alignment horizontal="center" vertical="center" wrapText="1"/>
    </xf>
    <xf numFmtId="0" fontId="79" fillId="54" borderId="81" xfId="24" applyNumberFormat="1" applyFont="1" applyFill="1" applyBorder="1" applyAlignment="1">
      <alignment horizontal="center" vertical="center" wrapText="1"/>
    </xf>
    <xf numFmtId="165" fontId="79" fillId="54" borderId="81" xfId="24" applyNumberFormat="1" applyFont="1" applyFill="1" applyBorder="1" applyAlignment="1">
      <alignment horizontal="center" vertical="center" wrapText="1"/>
    </xf>
    <xf numFmtId="165" fontId="41" fillId="54" borderId="48" xfId="24" applyNumberFormat="1" applyFont="1" applyFill="1" applyBorder="1"/>
    <xf numFmtId="165" fontId="80" fillId="54" borderId="48" xfId="24" applyNumberFormat="1" applyFont="1" applyFill="1" applyBorder="1"/>
    <xf numFmtId="165" fontId="80" fillId="54" borderId="48" xfId="24" applyNumberFormat="1" applyFont="1" applyFill="1" applyBorder="1" applyAlignment="1">
      <alignment vertical="center"/>
    </xf>
    <xf numFmtId="168" fontId="72" fillId="54" borderId="81" xfId="24" applyNumberFormat="1" applyFont="1" applyFill="1" applyBorder="1" applyAlignment="1">
      <alignment horizontal="center" vertical="center" wrapText="1"/>
    </xf>
    <xf numFmtId="168" fontId="79" fillId="54" borderId="81" xfId="24" applyNumberFormat="1" applyFont="1" applyFill="1" applyBorder="1" applyAlignment="1">
      <alignment horizontal="center" vertical="center" wrapText="1"/>
    </xf>
    <xf numFmtId="0" fontId="53" fillId="54" borderId="48" xfId="24" applyNumberFormat="1" applyFont="1" applyFill="1" applyBorder="1"/>
    <xf numFmtId="0" fontId="82" fillId="54" borderId="48" xfId="24" applyNumberFormat="1" applyFont="1" applyFill="1" applyBorder="1"/>
    <xf numFmtId="0" fontId="82" fillId="54" borderId="48" xfId="24" applyNumberFormat="1" applyFont="1" applyFill="1" applyBorder="1" applyAlignment="1">
      <alignment vertical="center"/>
    </xf>
    <xf numFmtId="0" fontId="72" fillId="54" borderId="90" xfId="24" applyNumberFormat="1" applyFont="1" applyFill="1" applyBorder="1" applyAlignment="1">
      <alignment horizontal="center" vertical="center" wrapText="1"/>
    </xf>
    <xf numFmtId="165" fontId="72" fillId="54" borderId="91" xfId="24" applyNumberFormat="1" applyFont="1" applyFill="1" applyBorder="1" applyAlignment="1">
      <alignment horizontal="center" vertical="center" wrapText="1"/>
    </xf>
    <xf numFmtId="0" fontId="72" fillId="54" borderId="91" xfId="24" applyNumberFormat="1" applyFont="1" applyFill="1" applyBorder="1" applyAlignment="1">
      <alignment horizontal="center" vertical="center" wrapText="1"/>
    </xf>
    <xf numFmtId="164" fontId="72" fillId="54" borderId="91" xfId="24" applyNumberFormat="1" applyFont="1" applyFill="1" applyBorder="1" applyAlignment="1">
      <alignment horizontal="center" vertical="center" wrapText="1"/>
    </xf>
    <xf numFmtId="10" fontId="72" fillId="54" borderId="81" xfId="24" applyNumberFormat="1" applyFont="1" applyFill="1" applyBorder="1" applyAlignment="1">
      <alignment horizontal="center" vertical="center" wrapText="1"/>
    </xf>
    <xf numFmtId="164" fontId="72" fillId="54" borderId="81" xfId="24" applyNumberFormat="1" applyFont="1" applyFill="1" applyBorder="1" applyAlignment="1">
      <alignment horizontal="center" vertical="center" wrapText="1"/>
    </xf>
    <xf numFmtId="164" fontId="72" fillId="54" borderId="83" xfId="24" applyNumberFormat="1" applyFont="1" applyFill="1" applyBorder="1" applyAlignment="1">
      <alignment horizontal="center" vertical="center" wrapText="1"/>
    </xf>
    <xf numFmtId="165" fontId="72" fillId="54" borderId="83" xfId="24" applyNumberFormat="1" applyFont="1" applyFill="1" applyBorder="1" applyAlignment="1">
      <alignment horizontal="center" vertical="center" wrapText="1"/>
    </xf>
    <xf numFmtId="0" fontId="79" fillId="54" borderId="90" xfId="24" applyNumberFormat="1" applyFont="1" applyFill="1" applyBorder="1" applyAlignment="1">
      <alignment horizontal="center" vertical="center" wrapText="1"/>
    </xf>
    <xf numFmtId="165" fontId="79" fillId="54" borderId="91" xfId="24" applyNumberFormat="1" applyFont="1" applyFill="1" applyBorder="1" applyAlignment="1">
      <alignment horizontal="center" vertical="center" wrapText="1"/>
    </xf>
    <xf numFmtId="0" fontId="79" fillId="54" borderId="91" xfId="24" applyNumberFormat="1" applyFont="1" applyFill="1" applyBorder="1" applyAlignment="1">
      <alignment horizontal="center" vertical="center" wrapText="1"/>
    </xf>
    <xf numFmtId="164" fontId="79" fillId="54" borderId="91" xfId="24" applyNumberFormat="1" applyFont="1" applyFill="1" applyBorder="1" applyAlignment="1">
      <alignment horizontal="center" vertical="center" wrapText="1"/>
    </xf>
    <xf numFmtId="10" fontId="79" fillId="54" borderId="81" xfId="24" applyNumberFormat="1" applyFont="1" applyFill="1" applyBorder="1" applyAlignment="1">
      <alignment horizontal="center" vertical="center" wrapText="1"/>
    </xf>
    <xf numFmtId="164" fontId="79" fillId="54" borderId="81" xfId="24" applyNumberFormat="1" applyFont="1" applyFill="1" applyBorder="1" applyAlignment="1">
      <alignment horizontal="center" vertical="center" wrapText="1"/>
    </xf>
    <xf numFmtId="164" fontId="79" fillId="54" borderId="83" xfId="24" applyNumberFormat="1" applyFont="1" applyFill="1" applyBorder="1" applyAlignment="1">
      <alignment horizontal="center" vertical="center" wrapText="1"/>
    </xf>
    <xf numFmtId="165" fontId="79" fillId="54" borderId="83" xfId="24" applyNumberFormat="1" applyFont="1" applyFill="1" applyBorder="1" applyAlignment="1">
      <alignment horizontal="center" vertical="center" wrapText="1"/>
    </xf>
    <xf numFmtId="0" fontId="69" fillId="54" borderId="80" xfId="24" applyNumberFormat="1" applyFont="1" applyFill="1" applyBorder="1" applyAlignment="1">
      <alignment horizontal="center" vertical="center" wrapText="1"/>
    </xf>
    <xf numFmtId="165" fontId="69" fillId="54" borderId="80" xfId="24" applyNumberFormat="1" applyFont="1" applyFill="1" applyBorder="1" applyAlignment="1">
      <alignment horizontal="center" vertical="center" wrapText="1"/>
    </xf>
    <xf numFmtId="167" fontId="69" fillId="54" borderId="80" xfId="24" applyNumberFormat="1" applyFont="1" applyFill="1" applyBorder="1" applyAlignment="1">
      <alignment horizontal="center" vertical="center" wrapText="1"/>
    </xf>
    <xf numFmtId="9" fontId="69" fillId="54" borderId="80" xfId="24" applyNumberFormat="1" applyFont="1" applyFill="1" applyBorder="1" applyAlignment="1">
      <alignment horizontal="center" vertical="center" wrapText="1"/>
    </xf>
    <xf numFmtId="0" fontId="79" fillId="54" borderId="80" xfId="24" applyNumberFormat="1" applyFont="1" applyFill="1" applyBorder="1" applyAlignment="1">
      <alignment horizontal="center" vertical="center" wrapText="1"/>
    </xf>
    <xf numFmtId="165" fontId="79" fillId="54" borderId="80" xfId="24" applyNumberFormat="1" applyFont="1" applyFill="1" applyBorder="1" applyAlignment="1">
      <alignment horizontal="center" vertical="center" wrapText="1"/>
    </xf>
    <xf numFmtId="167" fontId="79" fillId="54" borderId="80" xfId="24" applyNumberFormat="1" applyFont="1" applyFill="1" applyBorder="1" applyAlignment="1">
      <alignment horizontal="center" vertical="center" wrapText="1"/>
    </xf>
    <xf numFmtId="9" fontId="79" fillId="54" borderId="80" xfId="24" applyNumberFormat="1" applyFont="1" applyFill="1" applyBorder="1" applyAlignment="1">
      <alignment horizontal="center" vertical="center" wrapText="1"/>
    </xf>
    <xf numFmtId="165" fontId="79" fillId="54" borderId="91" xfId="24" applyNumberFormat="1" applyFont="1" applyFill="1" applyBorder="1" applyAlignment="1">
      <alignment horizontal="left" vertical="center" wrapText="1"/>
    </xf>
    <xf numFmtId="0" fontId="79" fillId="54" borderId="80" xfId="24" applyNumberFormat="1" applyFont="1" applyFill="1" applyBorder="1" applyAlignment="1">
      <alignment horizontal="right" vertical="center" wrapText="1"/>
    </xf>
    <xf numFmtId="167" fontId="79" fillId="54" borderId="80" xfId="24" applyNumberFormat="1" applyFont="1" applyFill="1" applyBorder="1" applyAlignment="1">
      <alignment horizontal="right" vertical="center" wrapText="1"/>
    </xf>
    <xf numFmtId="9" fontId="79" fillId="54" borderId="80" xfId="24" applyNumberFormat="1" applyFont="1" applyFill="1" applyBorder="1" applyAlignment="1">
      <alignment horizontal="right" vertical="center" wrapText="1"/>
    </xf>
    <xf numFmtId="165" fontId="69" fillId="52" borderId="93" xfId="24" applyNumberFormat="1" applyFont="1" applyFill="1" applyBorder="1" applyAlignment="1">
      <alignment horizontal="left" vertical="center" wrapText="1"/>
    </xf>
    <xf numFmtId="165" fontId="71" fillId="52" borderId="80" xfId="24" applyNumberFormat="1" applyFont="1" applyFill="1" applyBorder="1" applyAlignment="1">
      <alignment horizontal="left" vertical="center" wrapText="1"/>
    </xf>
    <xf numFmtId="165" fontId="71" fillId="51" borderId="80" xfId="24" applyNumberFormat="1" applyFont="1" applyFill="1" applyBorder="1" applyAlignment="1">
      <alignment horizontal="left" vertical="center" wrapText="1"/>
    </xf>
    <xf numFmtId="165" fontId="69" fillId="52" borderId="95" xfId="24" applyNumberFormat="1" applyFont="1" applyFill="1" applyBorder="1" applyAlignment="1">
      <alignment horizontal="left" vertical="center" wrapText="1"/>
    </xf>
    <xf numFmtId="165" fontId="71" fillId="52" borderId="88" xfId="24" applyNumberFormat="1" applyFont="1" applyFill="1" applyBorder="1" applyAlignment="1">
      <alignment horizontal="left" vertical="center" wrapText="1"/>
    </xf>
    <xf numFmtId="165" fontId="69" fillId="52" borderId="94" xfId="24" applyNumberFormat="1" applyFont="1" applyFill="1" applyBorder="1" applyAlignment="1">
      <alignment horizontal="left" vertical="center" wrapText="1"/>
    </xf>
    <xf numFmtId="165" fontId="71" fillId="51" borderId="88" xfId="24" applyNumberFormat="1" applyFont="1" applyFill="1" applyBorder="1" applyAlignment="1">
      <alignment horizontal="left" vertical="center" wrapText="1"/>
    </xf>
    <xf numFmtId="165" fontId="69" fillId="52" borderId="92" xfId="24" applyNumberFormat="1" applyFont="1" applyFill="1" applyBorder="1" applyAlignment="1">
      <alignment horizontal="left" vertical="center" wrapText="1"/>
    </xf>
    <xf numFmtId="165" fontId="71" fillId="51" borderId="84" xfId="24" applyNumberFormat="1" applyFont="1" applyFill="1" applyBorder="1" applyAlignment="1">
      <alignment horizontal="left" vertical="center" wrapText="1"/>
    </xf>
    <xf numFmtId="165" fontId="71" fillId="52" borderId="84" xfId="24" applyNumberFormat="1" applyFont="1" applyFill="1" applyBorder="1" applyAlignment="1">
      <alignment horizontal="left" vertical="center" wrapText="1"/>
    </xf>
    <xf numFmtId="49" fontId="71" fillId="52" borderId="80" xfId="24" applyNumberFormat="1" applyFont="1" applyFill="1" applyBorder="1" applyAlignment="1">
      <alignment horizontal="left" vertical="center" wrapText="1"/>
    </xf>
    <xf numFmtId="49" fontId="71" fillId="51" borderId="80" xfId="24" applyNumberFormat="1" applyFont="1" applyFill="1" applyBorder="1" applyAlignment="1">
      <alignment horizontal="left" vertical="center" wrapText="1"/>
    </xf>
    <xf numFmtId="165" fontId="69" fillId="52" borderId="84" xfId="24" applyNumberFormat="1" applyFont="1" applyFill="1" applyBorder="1" applyAlignment="1">
      <alignment horizontal="left" vertical="center" wrapText="1"/>
    </xf>
    <xf numFmtId="165" fontId="79" fillId="52" borderId="92" xfId="24" applyNumberFormat="1" applyFont="1" applyFill="1" applyBorder="1" applyAlignment="1">
      <alignment horizontal="left" vertical="center" wrapText="1"/>
    </xf>
    <xf numFmtId="165" fontId="71" fillId="51" borderId="80" xfId="36" applyNumberFormat="1" applyFont="1" applyFill="1" applyBorder="1" applyAlignment="1">
      <alignment vertical="center" wrapText="1" indent="1"/>
    </xf>
    <xf numFmtId="165" fontId="71" fillId="52" borderId="80" xfId="36" applyNumberFormat="1" applyFont="1" applyFill="1" applyBorder="1" applyAlignment="1">
      <alignment vertical="center" wrapText="1" indent="1"/>
    </xf>
    <xf numFmtId="165" fontId="70" fillId="51" borderId="80" xfId="36" applyNumberFormat="1" applyFont="1" applyFill="1" applyBorder="1" applyAlignment="1">
      <alignment vertical="center" wrapText="1" indent="1"/>
    </xf>
    <xf numFmtId="165" fontId="70" fillId="52" borderId="80" xfId="36" applyNumberFormat="1" applyFont="1" applyFill="1" applyBorder="1" applyAlignment="1">
      <alignment vertical="center" wrapText="1" indent="1"/>
    </xf>
    <xf numFmtId="164" fontId="55" fillId="39" borderId="64" xfId="38" applyFont="1" applyAlignment="1">
      <alignment indent="1"/>
    </xf>
    <xf numFmtId="164" fontId="70" fillId="51" borderId="82" xfId="36" applyNumberFormat="1" applyFont="1" applyFill="1" applyBorder="1" applyAlignment="1">
      <alignment vertical="center" wrapText="1" indent="1"/>
    </xf>
    <xf numFmtId="165" fontId="55" fillId="39" borderId="65" xfId="36" applyBorder="1" applyAlignment="1">
      <alignment indent="1"/>
    </xf>
    <xf numFmtId="165" fontId="69" fillId="51" borderId="80" xfId="36" applyNumberFormat="1" applyFont="1" applyFill="1" applyBorder="1" applyAlignment="1">
      <alignment horizontal="left" vertical="center" wrapText="1" indent="1"/>
    </xf>
    <xf numFmtId="164" fontId="70" fillId="51" borderId="80" xfId="36" applyNumberFormat="1" applyFont="1" applyFill="1" applyBorder="1" applyAlignment="1">
      <alignment vertical="center" wrapText="1" indent="1"/>
    </xf>
    <xf numFmtId="164" fontId="70" fillId="52" borderId="80" xfId="36" applyNumberFormat="1" applyFont="1" applyFill="1" applyBorder="1" applyAlignment="1">
      <alignment vertical="center" wrapText="1" indent="1"/>
    </xf>
    <xf numFmtId="165" fontId="71" fillId="52" borderId="80" xfId="36" applyNumberFormat="1" applyFont="1" applyFill="1" applyBorder="1" applyAlignment="1">
      <alignment horizontal="left" vertical="center" wrapText="1" indent="1"/>
    </xf>
    <xf numFmtId="165" fontId="69" fillId="51" borderId="80" xfId="36" applyNumberFormat="1" applyFont="1" applyFill="1" applyBorder="1" applyAlignment="1">
      <alignment vertical="center" wrapText="1" indent="1"/>
    </xf>
    <xf numFmtId="168" fontId="69" fillId="51" borderId="80" xfId="36" applyNumberFormat="1" applyFont="1" applyFill="1" applyBorder="1" applyAlignment="1">
      <alignment vertical="center" wrapText="1" indent="1"/>
    </xf>
    <xf numFmtId="164" fontId="69" fillId="51" borderId="80" xfId="36" applyNumberFormat="1" applyFont="1" applyFill="1" applyBorder="1" applyAlignment="1">
      <alignment vertical="center" wrapText="1" indent="1"/>
    </xf>
    <xf numFmtId="10" fontId="70" fillId="52" borderId="80" xfId="36" applyNumberFormat="1" applyFont="1" applyFill="1" applyBorder="1" applyAlignment="1">
      <alignment vertical="center" wrapText="1" indent="1"/>
    </xf>
    <xf numFmtId="165" fontId="58" fillId="39" borderId="64" xfId="36" applyFont="1" applyAlignment="1">
      <alignment indent="1"/>
    </xf>
    <xf numFmtId="10" fontId="55" fillId="39" borderId="64" xfId="39" applyNumberFormat="1" applyFont="1" applyAlignment="1">
      <alignment indent="1"/>
    </xf>
    <xf numFmtId="165" fontId="71" fillId="51" borderId="80" xfId="36" applyNumberFormat="1" applyFont="1" applyFill="1" applyBorder="1" applyAlignment="1">
      <alignment horizontal="left" vertical="center" wrapText="1" indent="1"/>
    </xf>
    <xf numFmtId="165" fontId="69" fillId="52" borderId="80" xfId="36" applyNumberFormat="1" applyFont="1" applyFill="1" applyBorder="1" applyAlignment="1">
      <alignment vertical="center" wrapText="1" indent="1"/>
    </xf>
    <xf numFmtId="168" fontId="69" fillId="52" borderId="80" xfId="36" applyNumberFormat="1" applyFont="1" applyFill="1" applyBorder="1" applyAlignment="1">
      <alignment vertical="center" wrapText="1" indent="1"/>
    </xf>
    <xf numFmtId="164" fontId="69" fillId="52" borderId="80" xfId="36" applyNumberFormat="1" applyFont="1" applyFill="1" applyBorder="1" applyAlignment="1">
      <alignment vertical="center" wrapText="1" indent="1"/>
    </xf>
    <xf numFmtId="168" fontId="70" fillId="52" borderId="80" xfId="36" applyNumberFormat="1" applyFont="1" applyFill="1" applyBorder="1" applyAlignment="1">
      <alignment vertical="center" wrapText="1" indent="1"/>
    </xf>
    <xf numFmtId="168" fontId="70" fillId="51" borderId="80" xfId="36" applyNumberFormat="1" applyFont="1" applyFill="1" applyBorder="1" applyAlignment="1">
      <alignment vertical="center" wrapText="1" indent="1"/>
    </xf>
    <xf numFmtId="164" fontId="55" fillId="39" borderId="65" xfId="36" applyNumberFormat="1" applyBorder="1" applyAlignment="1">
      <alignment indent="1"/>
    </xf>
    <xf numFmtId="168" fontId="55" fillId="39" borderId="65" xfId="36" applyNumberFormat="1" applyBorder="1" applyAlignment="1">
      <alignment indent="1"/>
    </xf>
    <xf numFmtId="165" fontId="55" fillId="39" borderId="65" xfId="36" applyBorder="1" applyAlignment="1">
      <alignment wrapText="1" indent="1"/>
    </xf>
    <xf numFmtId="165" fontId="55" fillId="39" borderId="64" xfId="36" applyAlignment="1">
      <alignment wrapText="1" indent="1"/>
    </xf>
    <xf numFmtId="0" fontId="71" fillId="51" borderId="80" xfId="36" applyNumberFormat="1" applyFont="1" applyFill="1" applyBorder="1" applyAlignment="1">
      <alignment horizontal="left" vertical="center" wrapText="1" indent="1"/>
    </xf>
    <xf numFmtId="165" fontId="79" fillId="54" borderId="91" xfId="24" applyNumberFormat="1" applyFont="1" applyFill="1" applyBorder="1" applyAlignment="1">
      <alignment horizontal="left" vertical="center" wrapText="1" indent="1"/>
    </xf>
    <xf numFmtId="164" fontId="69" fillId="51" borderId="88" xfId="36" applyNumberFormat="1" applyFont="1" applyFill="1" applyBorder="1" applyAlignment="1">
      <alignment vertical="center" wrapText="1" indent="1"/>
    </xf>
    <xf numFmtId="165" fontId="71" fillId="51" borderId="84" xfId="36" applyNumberFormat="1" applyFont="1" applyFill="1" applyBorder="1" applyAlignment="1">
      <alignment horizontal="left" vertical="center" wrapText="1" indent="1"/>
    </xf>
    <xf numFmtId="164" fontId="71" fillId="51" borderId="80" xfId="36" applyNumberFormat="1" applyFont="1" applyFill="1" applyBorder="1" applyAlignment="1">
      <alignment vertical="center" wrapText="1" indent="1"/>
    </xf>
    <xf numFmtId="165" fontId="70" fillId="52" borderId="82" xfId="36" applyNumberFormat="1" applyFont="1" applyFill="1" applyBorder="1" applyAlignment="1">
      <alignment vertical="center" wrapText="1" indent="1"/>
    </xf>
    <xf numFmtId="164" fontId="69" fillId="52" borderId="88" xfId="36" applyNumberFormat="1" applyFont="1" applyFill="1" applyBorder="1" applyAlignment="1">
      <alignment vertical="center" wrapText="1" indent="1"/>
    </xf>
    <xf numFmtId="165" fontId="71" fillId="52" borderId="84" xfId="36" applyNumberFormat="1" applyFont="1" applyFill="1" applyBorder="1" applyAlignment="1">
      <alignment horizontal="left" vertical="center" wrapText="1" indent="1"/>
    </xf>
    <xf numFmtId="164" fontId="71" fillId="52" borderId="80" xfId="36" applyNumberFormat="1" applyFont="1" applyFill="1" applyBorder="1" applyAlignment="1">
      <alignment vertical="center" wrapText="1" indent="1"/>
    </xf>
    <xf numFmtId="2" fontId="71" fillId="51" borderId="80" xfId="36" applyNumberFormat="1" applyFont="1" applyFill="1" applyBorder="1" applyAlignment="1">
      <alignment vertical="center" wrapText="1" indent="1"/>
    </xf>
    <xf numFmtId="165" fontId="70" fillId="51" borderId="82" xfId="36" applyNumberFormat="1" applyFont="1" applyFill="1" applyBorder="1" applyAlignment="1">
      <alignment vertical="center" wrapText="1" indent="1"/>
    </xf>
    <xf numFmtId="165" fontId="69" fillId="52" borderId="93" xfId="24" applyNumberFormat="1" applyFont="1" applyFill="1" applyBorder="1" applyAlignment="1">
      <alignment horizontal="left" vertical="center" wrapText="1" indent="1"/>
    </xf>
    <xf numFmtId="165" fontId="79" fillId="52" borderId="93" xfId="36" applyNumberFormat="1" applyFont="1" applyFill="1" applyBorder="1" applyAlignment="1">
      <alignment horizontal="left" vertical="center" wrapText="1" indent="1"/>
    </xf>
    <xf numFmtId="165" fontId="80" fillId="52" borderId="93" xfId="36" applyNumberFormat="1" applyFont="1" applyFill="1" applyBorder="1" applyAlignment="1">
      <alignment vertical="center" wrapText="1" indent="1"/>
    </xf>
    <xf numFmtId="165" fontId="71" fillId="52" borderId="80" xfId="24" applyNumberFormat="1" applyFont="1" applyFill="1" applyBorder="1" applyAlignment="1">
      <alignment horizontal="left" vertical="center" wrapText="1" indent="1"/>
    </xf>
    <xf numFmtId="49" fontId="71" fillId="52" borderId="80" xfId="36" applyNumberFormat="1" applyFont="1" applyFill="1" applyBorder="1" applyAlignment="1">
      <alignment vertical="center" wrapText="1" indent="1"/>
    </xf>
    <xf numFmtId="165" fontId="71" fillId="51" borderId="80" xfId="24" applyNumberFormat="1" applyFont="1" applyFill="1" applyBorder="1" applyAlignment="1">
      <alignment horizontal="left" vertical="center" wrapText="1" indent="1"/>
    </xf>
    <xf numFmtId="49" fontId="71" fillId="51" borderId="80" xfId="36" applyNumberFormat="1" applyFont="1" applyFill="1" applyBorder="1" applyAlignment="1">
      <alignment vertical="center" wrapText="1" indent="1"/>
    </xf>
    <xf numFmtId="165" fontId="69" fillId="52" borderId="95" xfId="24" applyNumberFormat="1" applyFont="1" applyFill="1" applyBorder="1" applyAlignment="1">
      <alignment horizontal="left" vertical="center" wrapText="1" indent="1"/>
    </xf>
    <xf numFmtId="49" fontId="79" fillId="52" borderId="93" xfId="36" applyNumberFormat="1" applyFont="1" applyFill="1" applyBorder="1" applyAlignment="1">
      <alignment vertical="center" wrapText="1" indent="1"/>
    </xf>
    <xf numFmtId="165" fontId="71" fillId="52" borderId="88" xfId="24" applyNumberFormat="1" applyFont="1" applyFill="1" applyBorder="1" applyAlignment="1">
      <alignment horizontal="left" vertical="center" wrapText="1" indent="1"/>
    </xf>
    <xf numFmtId="165" fontId="79" fillId="52" borderId="93" xfId="36" applyNumberFormat="1" applyFont="1" applyFill="1" applyBorder="1" applyAlignment="1">
      <alignment vertical="center" wrapText="1" indent="1"/>
    </xf>
    <xf numFmtId="165" fontId="69" fillId="52" borderId="94" xfId="24" applyNumberFormat="1" applyFont="1" applyFill="1" applyBorder="1" applyAlignment="1">
      <alignment horizontal="left" vertical="center" wrapText="1" indent="1"/>
    </xf>
    <xf numFmtId="165" fontId="71" fillId="51" borderId="82" xfId="36" applyNumberFormat="1" applyFont="1" applyFill="1" applyBorder="1" applyAlignment="1">
      <alignment vertical="center" wrapText="1" indent="1"/>
    </xf>
    <xf numFmtId="165" fontId="71" fillId="52" borderId="82" xfId="36" applyNumberFormat="1" applyFont="1" applyFill="1" applyBorder="1" applyAlignment="1">
      <alignment vertical="center" wrapText="1" indent="1"/>
    </xf>
    <xf numFmtId="164" fontId="80" fillId="52" borderId="94" xfId="36" applyNumberFormat="1" applyFont="1" applyFill="1" applyBorder="1" applyAlignment="1">
      <alignment vertical="center" wrapText="1" indent="1"/>
    </xf>
    <xf numFmtId="49" fontId="70" fillId="52" borderId="82" xfId="36" applyNumberFormat="1" applyFont="1" applyFill="1" applyBorder="1" applyAlignment="1">
      <alignment vertical="center" wrapText="1" indent="1"/>
    </xf>
    <xf numFmtId="165" fontId="71" fillId="51" borderId="88" xfId="24" applyNumberFormat="1" applyFont="1" applyFill="1" applyBorder="1" applyAlignment="1">
      <alignment horizontal="left" vertical="center" wrapText="1" indent="1"/>
    </xf>
    <xf numFmtId="165" fontId="69" fillId="52" borderId="92" xfId="24" applyNumberFormat="1" applyFont="1" applyFill="1" applyBorder="1" applyAlignment="1">
      <alignment horizontal="left" vertical="center" wrapText="1" indent="1"/>
    </xf>
    <xf numFmtId="165" fontId="71" fillId="51" borderId="84" xfId="24" applyNumberFormat="1" applyFont="1" applyFill="1" applyBorder="1" applyAlignment="1">
      <alignment horizontal="left" vertical="center" wrapText="1" indent="1"/>
    </xf>
    <xf numFmtId="165" fontId="71" fillId="52" borderId="84" xfId="24" applyNumberFormat="1" applyFont="1" applyFill="1" applyBorder="1" applyAlignment="1">
      <alignment horizontal="left" vertical="center" wrapText="1" indent="1"/>
    </xf>
    <xf numFmtId="164" fontId="70" fillId="52" borderId="82" xfId="36" applyNumberFormat="1" applyFont="1" applyFill="1" applyBorder="1" applyAlignment="1">
      <alignment vertical="center" wrapText="1" indent="1"/>
    </xf>
    <xf numFmtId="49" fontId="71" fillId="52" borderId="80" xfId="24" applyNumberFormat="1" applyFont="1" applyFill="1" applyBorder="1" applyAlignment="1">
      <alignment horizontal="left" vertical="center" wrapText="1" indent="1"/>
    </xf>
    <xf numFmtId="49" fontId="71" fillId="51" borderId="80" xfId="24" applyNumberFormat="1" applyFont="1" applyFill="1" applyBorder="1" applyAlignment="1">
      <alignment horizontal="left" vertical="center" wrapText="1" indent="1"/>
    </xf>
    <xf numFmtId="164" fontId="79" fillId="52" borderId="94" xfId="36" applyNumberFormat="1" applyFont="1" applyFill="1" applyBorder="1" applyAlignment="1">
      <alignment vertical="center" wrapText="1" indent="1"/>
    </xf>
    <xf numFmtId="165" fontId="79" fillId="52" borderId="94" xfId="36" applyNumberFormat="1" applyFont="1" applyFill="1" applyBorder="1" applyAlignment="1">
      <alignment vertical="center" wrapText="1" indent="1"/>
    </xf>
    <xf numFmtId="165" fontId="69" fillId="52" borderId="84" xfId="24" applyNumberFormat="1" applyFont="1" applyFill="1" applyBorder="1" applyAlignment="1">
      <alignment horizontal="left" vertical="center" wrapText="1" indent="1"/>
    </xf>
    <xf numFmtId="165" fontId="79" fillId="52" borderId="92" xfId="24" applyNumberFormat="1" applyFont="1" applyFill="1" applyBorder="1" applyAlignment="1">
      <alignment horizontal="left" vertical="center" wrapText="1" indent="1"/>
    </xf>
    <xf numFmtId="165" fontId="71" fillId="51" borderId="85" xfId="36" applyNumberFormat="1" applyFont="1" applyFill="1" applyBorder="1" applyAlignment="1">
      <alignment vertical="center" wrapText="1" indent="1"/>
    </xf>
    <xf numFmtId="165" fontId="71" fillId="52" borderId="85" xfId="36" applyNumberFormat="1" applyFont="1" applyFill="1" applyBorder="1" applyAlignment="1">
      <alignment vertical="center" wrapText="1" indent="1"/>
    </xf>
    <xf numFmtId="165" fontId="83" fillId="55" borderId="96" xfId="48"/>
    <xf numFmtId="165" fontId="83" fillId="55" borderId="96" xfId="48" applyAlignment="1">
      <alignment horizontal="center"/>
    </xf>
    <xf numFmtId="165" fontId="83" fillId="55" borderId="97" xfId="48" applyBorder="1"/>
    <xf numFmtId="165" fontId="87" fillId="55" borderId="97" xfId="48" applyFont="1" applyBorder="1"/>
    <xf numFmtId="165" fontId="86" fillId="55" borderId="97" xfId="48" applyFont="1" applyBorder="1" applyAlignment="1">
      <alignment wrapText="1"/>
    </xf>
    <xf numFmtId="0" fontId="83" fillId="55" borderId="97" xfId="48" applyNumberFormat="1" applyBorder="1" applyAlignment="1">
      <alignment horizontal="center"/>
    </xf>
    <xf numFmtId="0" fontId="83" fillId="55" borderId="96" xfId="48" applyNumberFormat="1" applyAlignment="1">
      <alignment horizontal="center"/>
    </xf>
    <xf numFmtId="0" fontId="87" fillId="55" borderId="97" xfId="48" applyNumberFormat="1" applyFont="1" applyBorder="1" applyAlignment="1">
      <alignment horizontal="center"/>
    </xf>
    <xf numFmtId="165" fontId="86" fillId="55" borderId="97" xfId="48" applyFont="1" applyBorder="1"/>
    <xf numFmtId="165" fontId="83" fillId="55" borderId="97" xfId="48" applyBorder="1" applyAlignment="1">
      <alignment wrapText="1"/>
    </xf>
    <xf numFmtId="165" fontId="87" fillId="59" borderId="97" xfId="48" applyFont="1" applyFill="1" applyBorder="1" applyAlignment="1">
      <alignment wrapText="1"/>
    </xf>
    <xf numFmtId="165" fontId="87" fillId="59" borderId="97" xfId="48" applyFont="1" applyFill="1" applyBorder="1" applyAlignment="1">
      <alignment horizontal="center"/>
    </xf>
    <xf numFmtId="165" fontId="87" fillId="55" borderId="96" xfId="48" applyFont="1"/>
    <xf numFmtId="165" fontId="83" fillId="55" borderId="97" xfId="48" applyFont="1" applyFill="1" applyBorder="1" applyAlignment="1">
      <alignment wrapText="1"/>
    </xf>
    <xf numFmtId="165" fontId="87" fillId="59" borderId="97" xfId="48" applyFont="1" applyFill="1" applyBorder="1" applyAlignment="1">
      <alignment horizontal="center" wrapText="1"/>
    </xf>
    <xf numFmtId="165" fontId="86" fillId="55" borderId="97" xfId="48" applyFont="1" applyFill="1" applyBorder="1" applyAlignment="1">
      <alignment wrapText="1"/>
    </xf>
    <xf numFmtId="165" fontId="86" fillId="55" borderId="97" xfId="48" applyFont="1" applyBorder="1" applyAlignment="1">
      <alignment horizontal="center" vertical="center" wrapText="1"/>
    </xf>
    <xf numFmtId="165" fontId="86" fillId="55" borderId="97" xfId="48" applyFont="1" applyFill="1" applyBorder="1" applyAlignment="1">
      <alignment horizontal="center" vertical="center" wrapText="1"/>
    </xf>
    <xf numFmtId="0" fontId="86" fillId="55" borderId="97" xfId="56" applyNumberFormat="1" applyFont="1" applyFill="1" applyBorder="1" applyAlignment="1">
      <alignment horizontal="center"/>
    </xf>
    <xf numFmtId="165" fontId="83" fillId="60" borderId="97" xfId="48" applyFill="1" applyBorder="1" applyAlignment="1">
      <alignment horizontal="center"/>
    </xf>
    <xf numFmtId="164" fontId="83" fillId="60" borderId="97" xfId="50" applyFont="1" applyFill="1" applyBorder="1" applyAlignment="1">
      <alignment horizontal="center"/>
    </xf>
    <xf numFmtId="9" fontId="83" fillId="60" borderId="97" xfId="51" applyFont="1" applyFill="1" applyBorder="1" applyAlignment="1">
      <alignment horizontal="center"/>
    </xf>
    <xf numFmtId="0" fontId="83" fillId="60" borderId="97" xfId="48" applyNumberFormat="1" applyFill="1" applyBorder="1" applyAlignment="1">
      <alignment horizontal="center"/>
    </xf>
    <xf numFmtId="9" fontId="83" fillId="55" borderId="96" xfId="51" applyFont="1"/>
    <xf numFmtId="165" fontId="83" fillId="55" borderId="97" xfId="50" applyNumberFormat="1" applyFont="1" applyBorder="1"/>
    <xf numFmtId="9" fontId="83" fillId="57" borderId="97" xfId="51" applyFont="1" applyFill="1" applyBorder="1" applyAlignment="1">
      <alignment horizontal="center"/>
    </xf>
    <xf numFmtId="165" fontId="83" fillId="55" borderId="97" xfId="50" applyNumberFormat="1" applyFont="1" applyFill="1" applyBorder="1"/>
    <xf numFmtId="165" fontId="87" fillId="55" borderId="97" xfId="50" applyNumberFormat="1" applyFont="1" applyBorder="1"/>
    <xf numFmtId="165" fontId="86" fillId="55" borderId="97" xfId="56" applyFont="1" applyBorder="1" applyAlignment="1">
      <alignment horizontal="center" wrapText="1"/>
    </xf>
    <xf numFmtId="165" fontId="86" fillId="55" borderId="97" xfId="56" applyFont="1" applyBorder="1" applyAlignment="1">
      <alignment horizontal="center"/>
    </xf>
    <xf numFmtId="165" fontId="86" fillId="55" borderId="97" xfId="56" applyFont="1" applyBorder="1" applyAlignment="1">
      <alignment wrapText="1"/>
    </xf>
    <xf numFmtId="9" fontId="87" fillId="62" borderId="97" xfId="51" applyFont="1" applyFill="1" applyBorder="1" applyAlignment="1">
      <alignment horizontal="center"/>
    </xf>
    <xf numFmtId="9" fontId="91" fillId="55" borderId="101" xfId="51" applyFont="1" applyFill="1" applyBorder="1" applyAlignment="1">
      <alignment horizontal="center"/>
    </xf>
    <xf numFmtId="164" fontId="83" fillId="55" borderId="96" xfId="50" applyFont="1"/>
    <xf numFmtId="0" fontId="90" fillId="58" borderId="99" xfId="56" applyNumberFormat="1" applyFont="1" applyFill="1" applyBorder="1" applyAlignment="1">
      <alignment horizontal="center"/>
    </xf>
    <xf numFmtId="165" fontId="90" fillId="58" borderId="100" xfId="56" applyFont="1" applyFill="1" applyBorder="1" applyAlignment="1">
      <alignment horizontal="center"/>
    </xf>
    <xf numFmtId="165" fontId="91" fillId="58" borderId="100" xfId="56" applyFont="1" applyFill="1" applyBorder="1" applyAlignment="1">
      <alignment horizontal="left" wrapText="1"/>
    </xf>
    <xf numFmtId="165" fontId="91" fillId="58" borderId="100" xfId="56" applyFont="1" applyFill="1" applyBorder="1" applyAlignment="1">
      <alignment horizontal="center"/>
    </xf>
    <xf numFmtId="165" fontId="91" fillId="58" borderId="100" xfId="56" applyFont="1" applyFill="1" applyBorder="1" applyAlignment="1">
      <alignment horizontal="center" wrapText="1"/>
    </xf>
    <xf numFmtId="0" fontId="91" fillId="58" borderId="100" xfId="56" applyNumberFormat="1" applyFont="1" applyFill="1" applyBorder="1" applyAlignment="1">
      <alignment horizontal="center"/>
    </xf>
    <xf numFmtId="165" fontId="91" fillId="55" borderId="96" xfId="56" applyFont="1"/>
    <xf numFmtId="0" fontId="86" fillId="55" borderId="97" xfId="56" applyNumberFormat="1" applyFont="1" applyBorder="1" applyAlignment="1">
      <alignment horizontal="center" wrapText="1"/>
    </xf>
    <xf numFmtId="165" fontId="86" fillId="61" borderId="97" xfId="56" applyFont="1" applyFill="1" applyBorder="1" applyAlignment="1">
      <alignment wrapText="1"/>
    </xf>
    <xf numFmtId="165" fontId="91" fillId="55" borderId="101" xfId="56" applyFont="1" applyFill="1" applyBorder="1" applyAlignment="1">
      <alignment horizontal="left" wrapText="1"/>
    </xf>
    <xf numFmtId="165" fontId="91" fillId="55" borderId="101" xfId="56" applyFont="1" applyFill="1" applyBorder="1" applyAlignment="1">
      <alignment horizontal="center"/>
    </xf>
    <xf numFmtId="165" fontId="91" fillId="55" borderId="96" xfId="56" applyFont="1" applyFill="1"/>
    <xf numFmtId="0" fontId="87" fillId="62" borderId="97" xfId="56" applyNumberFormat="1" applyFont="1" applyFill="1" applyBorder="1" applyAlignment="1">
      <alignment horizontal="center"/>
    </xf>
    <xf numFmtId="165" fontId="87" fillId="62" borderId="97" xfId="56" applyFont="1" applyFill="1" applyBorder="1" applyAlignment="1">
      <alignment horizontal="center"/>
    </xf>
    <xf numFmtId="165" fontId="87" fillId="62" borderId="97" xfId="56" applyFont="1" applyFill="1" applyBorder="1" applyAlignment="1">
      <alignment horizontal="center" wrapText="1"/>
    </xf>
    <xf numFmtId="167" fontId="87" fillId="62" borderId="97" xfId="56" applyNumberFormat="1" applyFont="1" applyFill="1" applyBorder="1" applyAlignment="1">
      <alignment horizontal="center"/>
    </xf>
    <xf numFmtId="165" fontId="86" fillId="55" borderId="96" xfId="56"/>
    <xf numFmtId="165" fontId="87" fillId="55" borderId="101" xfId="56" applyFont="1" applyBorder="1" applyAlignment="1">
      <alignment horizontal="center"/>
    </xf>
    <xf numFmtId="165" fontId="86" fillId="55" borderId="97" xfId="56" applyFont="1" applyBorder="1" applyAlignment="1">
      <alignment horizontal="left" wrapText="1"/>
    </xf>
    <xf numFmtId="165" fontId="86" fillId="55" borderId="97" xfId="56" applyBorder="1" applyAlignment="1">
      <alignment horizontal="center"/>
    </xf>
    <xf numFmtId="0" fontId="86" fillId="55" borderId="97" xfId="56" applyNumberFormat="1" applyBorder="1" applyAlignment="1">
      <alignment horizontal="center"/>
    </xf>
    <xf numFmtId="165" fontId="86" fillId="55" borderId="97" xfId="56" applyFont="1" applyBorder="1" applyAlignment="1">
      <alignment horizontal="center" vertical="center"/>
    </xf>
    <xf numFmtId="0" fontId="86" fillId="61" borderId="97" xfId="56" applyNumberFormat="1" applyFont="1" applyFill="1" applyBorder="1" applyAlignment="1">
      <alignment horizontal="center"/>
    </xf>
    <xf numFmtId="165" fontId="86" fillId="55" borderId="96" xfId="56" applyNumberFormat="1"/>
    <xf numFmtId="165" fontId="86" fillId="55" borderId="97" xfId="56" applyFont="1" applyBorder="1"/>
    <xf numFmtId="165" fontId="86" fillId="55" borderId="101" xfId="56" applyBorder="1" applyAlignment="1">
      <alignment horizontal="center"/>
    </xf>
    <xf numFmtId="165" fontId="86" fillId="61" borderId="97" xfId="56" applyFont="1" applyFill="1" applyBorder="1" applyAlignment="1">
      <alignment horizontal="center"/>
    </xf>
    <xf numFmtId="165" fontId="87" fillId="61" borderId="101" xfId="56" applyFont="1" applyFill="1" applyBorder="1" applyAlignment="1">
      <alignment wrapText="1"/>
    </xf>
    <xf numFmtId="164" fontId="86" fillId="55" borderId="96" xfId="50"/>
    <xf numFmtId="165" fontId="86" fillId="55" borderId="98" xfId="56" applyFont="1" applyFill="1" applyBorder="1" applyAlignment="1">
      <alignment wrapText="1"/>
    </xf>
    <xf numFmtId="0" fontId="87" fillId="55" borderId="96" xfId="56" applyNumberFormat="1" applyFont="1" applyAlignment="1">
      <alignment horizontal="center"/>
    </xf>
    <xf numFmtId="165" fontId="86" fillId="55" borderId="96" xfId="56" applyAlignment="1">
      <alignment horizontal="center"/>
    </xf>
    <xf numFmtId="165" fontId="86" fillId="55" borderId="96" xfId="56" applyAlignment="1">
      <alignment wrapText="1"/>
    </xf>
    <xf numFmtId="165" fontId="86" fillId="55" borderId="96" xfId="56" applyAlignment="1">
      <alignment horizontal="center" wrapText="1"/>
    </xf>
    <xf numFmtId="0" fontId="86" fillId="55" borderId="96" xfId="56" applyNumberFormat="1" applyAlignment="1">
      <alignment horizontal="center"/>
    </xf>
    <xf numFmtId="167" fontId="86" fillId="55" borderId="96" xfId="56" applyNumberFormat="1"/>
    <xf numFmtId="0" fontId="87" fillId="61" borderId="101" xfId="56" applyNumberFormat="1" applyFont="1" applyFill="1" applyBorder="1" applyAlignment="1">
      <alignment horizontal="center"/>
    </xf>
    <xf numFmtId="0" fontId="86" fillId="61" borderId="101" xfId="56" applyNumberFormat="1" applyFont="1" applyFill="1" applyBorder="1" applyAlignment="1">
      <alignment horizontal="center"/>
    </xf>
    <xf numFmtId="165" fontId="86" fillId="61" borderId="97" xfId="56" applyFont="1" applyFill="1" applyBorder="1" applyAlignment="1">
      <alignment vertical="center" wrapText="1"/>
    </xf>
    <xf numFmtId="165" fontId="86" fillId="55" borderId="98" xfId="48" applyFont="1" applyBorder="1" applyAlignment="1">
      <alignment horizontal="center" wrapText="1"/>
    </xf>
    <xf numFmtId="165" fontId="83" fillId="61" borderId="97" xfId="50" applyNumberFormat="1" applyFont="1" applyFill="1" applyBorder="1"/>
    <xf numFmtId="164" fontId="91" fillId="55" borderId="96" xfId="50" applyFont="1"/>
    <xf numFmtId="165" fontId="86" fillId="55" borderId="98" xfId="56" applyFont="1" applyBorder="1" applyAlignment="1">
      <alignment horizontal="center" wrapText="1"/>
    </xf>
    <xf numFmtId="165" fontId="90" fillId="58" borderId="100" xfId="56" applyFont="1" applyFill="1" applyBorder="1" applyAlignment="1">
      <alignment wrapText="1"/>
    </xf>
    <xf numFmtId="164" fontId="91" fillId="58" borderId="100" xfId="50" applyFont="1" applyFill="1" applyBorder="1"/>
    <xf numFmtId="165" fontId="90" fillId="58" borderId="97" xfId="50" applyNumberFormat="1" applyFont="1" applyFill="1" applyBorder="1"/>
    <xf numFmtId="10" fontId="90" fillId="58" borderId="97" xfId="51" applyNumberFormat="1" applyFont="1" applyFill="1" applyBorder="1" applyAlignment="1">
      <alignment horizontal="center"/>
    </xf>
    <xf numFmtId="164" fontId="90" fillId="58" borderId="97" xfId="50" applyFont="1" applyFill="1" applyBorder="1"/>
    <xf numFmtId="164" fontId="90" fillId="55" borderId="102" xfId="50" applyFont="1" applyFill="1" applyBorder="1" applyAlignment="1">
      <alignment wrapText="1"/>
    </xf>
    <xf numFmtId="164" fontId="91" fillId="55" borderId="101" xfId="50" applyFont="1" applyFill="1" applyBorder="1" applyAlignment="1">
      <alignment horizontal="center"/>
    </xf>
    <xf numFmtId="165" fontId="91" fillId="55" borderId="97" xfId="50" applyNumberFormat="1" applyFont="1" applyFill="1" applyBorder="1"/>
    <xf numFmtId="9" fontId="91" fillId="55" borderId="97" xfId="51" applyFont="1" applyFill="1" applyBorder="1" applyAlignment="1">
      <alignment horizontal="center"/>
    </xf>
    <xf numFmtId="164" fontId="91" fillId="55" borderId="97" xfId="50" applyFont="1" applyFill="1" applyBorder="1"/>
    <xf numFmtId="165" fontId="92" fillId="55" borderId="96" xfId="56" applyFont="1"/>
    <xf numFmtId="2" fontId="86" fillId="55" borderId="97" xfId="56" applyNumberFormat="1" applyFont="1" applyBorder="1" applyAlignment="1">
      <alignment wrapText="1"/>
    </xf>
    <xf numFmtId="165" fontId="86" fillId="55" borderId="109" xfId="56" applyFont="1" applyBorder="1" applyAlignment="1">
      <alignment wrapText="1"/>
    </xf>
    <xf numFmtId="165" fontId="87" fillId="55" borderId="97" xfId="56" applyFont="1" applyBorder="1" applyAlignment="1">
      <alignment wrapText="1"/>
    </xf>
    <xf numFmtId="49" fontId="86" fillId="55" borderId="97" xfId="56" applyNumberFormat="1" applyBorder="1" applyAlignment="1">
      <alignment horizontal="center"/>
    </xf>
    <xf numFmtId="165" fontId="86" fillId="61" borderId="101" xfId="56" applyFill="1" applyBorder="1" applyAlignment="1">
      <alignment horizontal="center"/>
    </xf>
    <xf numFmtId="49" fontId="86" fillId="55" borderId="97" xfId="56" applyNumberFormat="1" applyBorder="1"/>
    <xf numFmtId="49" fontId="86" fillId="55" borderId="97" xfId="56" applyNumberFormat="1" applyFont="1" applyBorder="1" applyAlignment="1">
      <alignment horizontal="center"/>
    </xf>
    <xf numFmtId="165" fontId="86" fillId="61" borderId="97" xfId="50" applyNumberFormat="1" applyFont="1" applyFill="1" applyBorder="1"/>
    <xf numFmtId="165" fontId="87" fillId="55" borderId="102" xfId="56" applyFont="1" applyBorder="1" applyAlignment="1">
      <alignment wrapText="1"/>
    </xf>
    <xf numFmtId="0" fontId="87" fillId="55" borderId="97" xfId="56" applyNumberFormat="1" applyFont="1" applyBorder="1" applyAlignment="1">
      <alignment horizontal="center"/>
    </xf>
    <xf numFmtId="165" fontId="86" fillId="61" borderId="97" xfId="56" applyFont="1" applyFill="1" applyBorder="1" applyAlignment="1">
      <alignment horizontal="left" wrapText="1"/>
    </xf>
    <xf numFmtId="165" fontId="86" fillId="61" borderId="97" xfId="56" applyFont="1" applyFill="1" applyBorder="1" applyAlignment="1">
      <alignment horizontal="center" wrapText="1"/>
    </xf>
    <xf numFmtId="0" fontId="86" fillId="61" borderId="97" xfId="56" applyNumberFormat="1" applyFill="1" applyBorder="1" applyAlignment="1">
      <alignment horizontal="center"/>
    </xf>
    <xf numFmtId="165" fontId="86" fillId="61" borderId="102" xfId="56" applyFont="1" applyFill="1" applyBorder="1" applyAlignment="1">
      <alignment horizontal="left" wrapText="1"/>
    </xf>
    <xf numFmtId="165" fontId="86" fillId="55" borderId="97" xfId="50" applyNumberFormat="1" applyFont="1" applyBorder="1"/>
    <xf numFmtId="165" fontId="87" fillId="55" borderId="96" xfId="56" applyFont="1" applyAlignment="1">
      <alignment wrapText="1"/>
    </xf>
    <xf numFmtId="165" fontId="87" fillId="61" borderId="97" xfId="50" applyNumberFormat="1" applyFont="1" applyFill="1" applyBorder="1"/>
    <xf numFmtId="49" fontId="86" fillId="61" borderId="97" xfId="56" applyNumberFormat="1" applyFill="1" applyBorder="1" applyAlignment="1">
      <alignment horizontal="center"/>
    </xf>
    <xf numFmtId="49" fontId="86" fillId="55" borderId="97" xfId="56" applyNumberFormat="1" applyBorder="1" applyAlignment="1">
      <alignment horizontal="center" vertical="center"/>
    </xf>
    <xf numFmtId="165" fontId="86" fillId="55" borderId="97" xfId="56" applyFont="1" applyBorder="1" applyAlignment="1">
      <alignment horizontal="center" vertical="center" wrapText="1"/>
    </xf>
    <xf numFmtId="165" fontId="86" fillId="55" borderId="102" xfId="56" applyFont="1" applyBorder="1" applyAlignment="1">
      <alignment wrapText="1"/>
    </xf>
    <xf numFmtId="165" fontId="87" fillId="55" borderId="101" xfId="56" applyFont="1" applyBorder="1" applyAlignment="1">
      <alignment wrapText="1"/>
    </xf>
    <xf numFmtId="165" fontId="86" fillId="55" borderId="101" xfId="56" applyFont="1" applyBorder="1" applyAlignment="1">
      <alignment wrapText="1"/>
    </xf>
    <xf numFmtId="49" fontId="86" fillId="55" borderId="97" xfId="56" applyNumberFormat="1" applyFont="1" applyBorder="1"/>
    <xf numFmtId="165" fontId="87" fillId="61" borderId="97" xfId="56" applyFont="1" applyFill="1" applyBorder="1" applyAlignment="1">
      <alignment wrapText="1"/>
    </xf>
    <xf numFmtId="0" fontId="87" fillId="61" borderId="97" xfId="56" applyNumberFormat="1" applyFont="1" applyFill="1" applyBorder="1" applyAlignment="1">
      <alignment horizontal="center" wrapText="1"/>
    </xf>
    <xf numFmtId="0" fontId="87" fillId="55" borderId="97" xfId="56" applyNumberFormat="1" applyFont="1" applyBorder="1" applyAlignment="1">
      <alignment horizontal="center" wrapText="1"/>
    </xf>
    <xf numFmtId="165" fontId="86" fillId="55" borderId="97" xfId="56" applyBorder="1" applyAlignment="1">
      <alignment wrapText="1"/>
    </xf>
    <xf numFmtId="165" fontId="86" fillId="55" borderId="97" xfId="56" applyBorder="1" applyAlignment="1">
      <alignment horizontal="center" wrapText="1"/>
    </xf>
    <xf numFmtId="165" fontId="86" fillId="55" borderId="97" xfId="56" applyNumberFormat="1" applyBorder="1"/>
    <xf numFmtId="165" fontId="87" fillId="55" borderId="97" xfId="56" applyFont="1" applyBorder="1" applyAlignment="1">
      <alignment horizontal="left" wrapText="1"/>
    </xf>
    <xf numFmtId="164" fontId="87" fillId="55" borderId="96" xfId="50" applyFont="1"/>
    <xf numFmtId="9" fontId="87" fillId="57" borderId="97" xfId="51" applyFont="1" applyFill="1" applyBorder="1" applyAlignment="1">
      <alignment horizontal="center"/>
    </xf>
    <xf numFmtId="165" fontId="86" fillId="55" borderId="101" xfId="56" applyFont="1" applyBorder="1" applyAlignment="1">
      <alignment horizontal="left"/>
    </xf>
    <xf numFmtId="165" fontId="86" fillId="61" borderId="97" xfId="56" applyFill="1" applyBorder="1" applyAlignment="1">
      <alignment horizontal="center"/>
    </xf>
    <xf numFmtId="0" fontId="83" fillId="55" borderId="96" xfId="48" applyNumberFormat="1"/>
    <xf numFmtId="165" fontId="83" fillId="55" borderId="97" xfId="48" applyBorder="1" applyAlignment="1">
      <alignment horizontal="center"/>
    </xf>
    <xf numFmtId="0" fontId="86" fillId="55" borderId="97" xfId="48" applyNumberFormat="1" applyFont="1" applyFill="1" applyBorder="1" applyAlignment="1">
      <alignment horizontal="center"/>
    </xf>
    <xf numFmtId="0" fontId="87" fillId="60" borderId="97" xfId="48" applyNumberFormat="1" applyFont="1" applyFill="1" applyBorder="1" applyAlignment="1">
      <alignment horizontal="center"/>
    </xf>
    <xf numFmtId="165" fontId="87" fillId="60" borderId="97" xfId="48" applyFont="1" applyFill="1" applyBorder="1" applyAlignment="1">
      <alignment horizontal="center"/>
    </xf>
    <xf numFmtId="168" fontId="87" fillId="60" borderId="97" xfId="48" applyNumberFormat="1" applyFont="1" applyFill="1" applyBorder="1" applyAlignment="1">
      <alignment horizontal="center"/>
    </xf>
    <xf numFmtId="165" fontId="87" fillId="60" borderId="97" xfId="48" applyFont="1" applyFill="1" applyBorder="1" applyAlignment="1">
      <alignment horizontal="center" wrapText="1"/>
    </xf>
    <xf numFmtId="0" fontId="87" fillId="64" borderId="97" xfId="48" applyNumberFormat="1" applyFont="1" applyFill="1" applyBorder="1" applyAlignment="1">
      <alignment horizontal="center"/>
    </xf>
    <xf numFmtId="165" fontId="87" fillId="64" borderId="97" xfId="48" applyFont="1" applyFill="1" applyBorder="1" applyAlignment="1">
      <alignment horizontal="left"/>
    </xf>
    <xf numFmtId="165" fontId="83" fillId="64" borderId="97" xfId="48" applyFill="1" applyBorder="1" applyAlignment="1">
      <alignment horizontal="center"/>
    </xf>
    <xf numFmtId="164" fontId="83" fillId="64" borderId="97" xfId="50" applyFont="1" applyFill="1" applyBorder="1"/>
    <xf numFmtId="168" fontId="87" fillId="64" borderId="97" xfId="50" applyNumberFormat="1" applyFont="1" applyFill="1" applyBorder="1"/>
    <xf numFmtId="164" fontId="93" fillId="65" borderId="97" xfId="50" applyFont="1" applyFill="1" applyBorder="1" applyAlignment="1">
      <alignment horizontal="right"/>
    </xf>
    <xf numFmtId="165" fontId="94" fillId="55" borderId="97" xfId="48" applyFont="1" applyBorder="1" applyAlignment="1">
      <alignment horizontal="right"/>
    </xf>
    <xf numFmtId="9" fontId="83" fillId="55" borderId="97" xfId="51" applyFont="1" applyBorder="1" applyAlignment="1">
      <alignment horizontal="center"/>
    </xf>
    <xf numFmtId="164" fontId="83" fillId="55" borderId="97" xfId="50" applyFont="1" applyBorder="1"/>
    <xf numFmtId="168" fontId="94" fillId="55" borderId="97" xfId="50" applyNumberFormat="1" applyFont="1" applyBorder="1" applyAlignment="1">
      <alignment horizontal="right"/>
    </xf>
    <xf numFmtId="164" fontId="94" fillId="55" borderId="97" xfId="50" applyFont="1" applyBorder="1" applyAlignment="1">
      <alignment horizontal="right"/>
    </xf>
    <xf numFmtId="165" fontId="86" fillId="55" borderId="97" xfId="48" applyFont="1" applyBorder="1" applyAlignment="1">
      <alignment horizontal="left"/>
    </xf>
    <xf numFmtId="10" fontId="83" fillId="55" borderId="97" xfId="51" applyNumberFormat="1" applyFont="1" applyBorder="1" applyAlignment="1">
      <alignment horizontal="center"/>
    </xf>
    <xf numFmtId="168" fontId="86" fillId="55" borderId="97" xfId="50" applyNumberFormat="1" applyFont="1" applyBorder="1" applyAlignment="1">
      <alignment horizontal="right"/>
    </xf>
    <xf numFmtId="164" fontId="86" fillId="55" borderId="97" xfId="50" applyFont="1" applyBorder="1" applyAlignment="1">
      <alignment horizontal="right" wrapText="1"/>
    </xf>
    <xf numFmtId="0" fontId="87" fillId="57" borderId="97" xfId="48" applyNumberFormat="1" applyFont="1" applyFill="1" applyBorder="1" applyAlignment="1">
      <alignment horizontal="center"/>
    </xf>
    <xf numFmtId="165" fontId="87" fillId="57" borderId="97" xfId="48" applyFont="1" applyFill="1" applyBorder="1"/>
    <xf numFmtId="10" fontId="83" fillId="57" borderId="97" xfId="51" applyNumberFormat="1" applyFont="1" applyFill="1" applyBorder="1" applyAlignment="1">
      <alignment horizontal="center"/>
    </xf>
    <xf numFmtId="10" fontId="87" fillId="57" borderId="97" xfId="51" applyNumberFormat="1" applyFont="1" applyFill="1" applyBorder="1" applyAlignment="1">
      <alignment horizontal="center"/>
    </xf>
    <xf numFmtId="168" fontId="87" fillId="57" borderId="97" xfId="50" applyNumberFormat="1" applyFont="1" applyFill="1" applyBorder="1"/>
    <xf numFmtId="164" fontId="87" fillId="57" borderId="97" xfId="48" applyNumberFormat="1" applyFont="1" applyFill="1" applyBorder="1" applyAlignment="1">
      <alignment wrapText="1"/>
    </xf>
    <xf numFmtId="10" fontId="83" fillId="55" borderId="97" xfId="51" applyNumberFormat="1" applyFont="1" applyBorder="1"/>
    <xf numFmtId="168" fontId="86" fillId="61" borderId="97" xfId="50" applyNumberFormat="1" applyFont="1" applyFill="1" applyBorder="1" applyAlignment="1">
      <alignment horizontal="right"/>
    </xf>
    <xf numFmtId="164" fontId="83" fillId="55" borderId="97" xfId="50" applyFont="1" applyBorder="1" applyAlignment="1">
      <alignment wrapText="1"/>
    </xf>
    <xf numFmtId="0" fontId="87" fillId="66" borderId="97" xfId="48" applyNumberFormat="1" applyFont="1" applyFill="1" applyBorder="1" applyAlignment="1">
      <alignment horizontal="center"/>
    </xf>
    <xf numFmtId="165" fontId="87" fillId="66" borderId="97" xfId="48" applyFont="1" applyFill="1" applyBorder="1"/>
    <xf numFmtId="9" fontId="87" fillId="66" borderId="97" xfId="51" applyFont="1" applyFill="1" applyBorder="1" applyAlignment="1">
      <alignment horizontal="center"/>
    </xf>
    <xf numFmtId="169" fontId="87" fillId="66" borderId="97" xfId="51" applyNumberFormat="1" applyFont="1" applyFill="1" applyBorder="1" applyAlignment="1">
      <alignment horizontal="center"/>
    </xf>
    <xf numFmtId="168" fontId="87" fillId="66" borderId="97" xfId="50" applyNumberFormat="1" applyFont="1" applyFill="1" applyBorder="1"/>
    <xf numFmtId="164" fontId="87" fillId="66" borderId="97" xfId="48" applyNumberFormat="1" applyFont="1" applyFill="1" applyBorder="1" applyAlignment="1">
      <alignment wrapText="1"/>
    </xf>
    <xf numFmtId="10" fontId="87" fillId="55" borderId="97" xfId="51" applyNumberFormat="1" applyFont="1" applyBorder="1"/>
    <xf numFmtId="168" fontId="87" fillId="55" borderId="97" xfId="50" applyNumberFormat="1" applyFont="1" applyBorder="1"/>
    <xf numFmtId="165" fontId="86" fillId="55" borderId="97" xfId="48" applyFont="1" applyBorder="1" applyAlignment="1">
      <alignment horizontal="right"/>
    </xf>
    <xf numFmtId="164" fontId="83" fillId="55" borderId="97" xfId="48" applyNumberFormat="1" applyBorder="1"/>
    <xf numFmtId="168" fontId="83" fillId="55" borderId="97" xfId="50" applyNumberFormat="1" applyFont="1" applyBorder="1"/>
    <xf numFmtId="168" fontId="87" fillId="66" borderId="97" xfId="48" applyNumberFormat="1" applyFont="1" applyFill="1" applyBorder="1"/>
    <xf numFmtId="168" fontId="83" fillId="55" borderId="97" xfId="48" applyNumberFormat="1" applyBorder="1"/>
    <xf numFmtId="165" fontId="83" fillId="55" borderId="97" xfId="48" applyBorder="1" applyAlignment="1">
      <alignment horizontal="right"/>
    </xf>
    <xf numFmtId="168" fontId="83" fillId="55" borderId="96" xfId="48" applyNumberFormat="1"/>
    <xf numFmtId="165" fontId="83" fillId="55" borderId="96" xfId="48" applyAlignment="1">
      <alignment wrapText="1"/>
    </xf>
    <xf numFmtId="0" fontId="86" fillId="63" borderId="97" xfId="56" applyNumberFormat="1" applyFont="1" applyFill="1" applyBorder="1" applyAlignment="1">
      <alignment horizontal="center"/>
    </xf>
    <xf numFmtId="165" fontId="86" fillId="63" borderId="98" xfId="56" applyFont="1" applyFill="1" applyBorder="1" applyAlignment="1">
      <alignment wrapText="1"/>
    </xf>
    <xf numFmtId="49" fontId="86" fillId="55" borderId="97" xfId="48" applyNumberFormat="1" applyFont="1" applyBorder="1" applyAlignment="1">
      <alignment horizontal="center"/>
    </xf>
    <xf numFmtId="165" fontId="86" fillId="61" borderId="97" xfId="48" applyFont="1" applyFill="1" applyBorder="1" applyAlignment="1">
      <alignment wrapText="1"/>
    </xf>
    <xf numFmtId="0" fontId="86" fillId="63" borderId="101" xfId="56" applyNumberFormat="1" applyFont="1" applyFill="1" applyBorder="1" applyAlignment="1">
      <alignment horizontal="center"/>
    </xf>
    <xf numFmtId="0" fontId="87" fillId="63" borderId="101" xfId="56" applyNumberFormat="1" applyFont="1" applyFill="1" applyBorder="1" applyAlignment="1">
      <alignment horizontal="center"/>
    </xf>
    <xf numFmtId="49" fontId="83" fillId="55" borderId="96" xfId="48" applyNumberFormat="1"/>
    <xf numFmtId="0" fontId="86" fillId="61" borderId="101" xfId="56" applyNumberFormat="1" applyFont="1" applyFill="1" applyBorder="1" applyAlignment="1">
      <alignment horizontal="center" vertical="center"/>
    </xf>
    <xf numFmtId="165" fontId="86" fillId="55" borderId="101" xfId="56" applyBorder="1" applyAlignment="1">
      <alignment horizontal="center" vertical="center"/>
    </xf>
    <xf numFmtId="165" fontId="86" fillId="55" borderId="97" xfId="56" applyFont="1" applyBorder="1" applyAlignment="1">
      <alignment vertical="center" wrapText="1"/>
    </xf>
    <xf numFmtId="165" fontId="86" fillId="55" borderId="97" xfId="56" applyBorder="1" applyAlignment="1">
      <alignment horizontal="center" vertical="center"/>
    </xf>
    <xf numFmtId="165" fontId="86" fillId="55" borderId="98" xfId="56" applyFont="1" applyBorder="1" applyAlignment="1">
      <alignment horizontal="center" vertical="center" wrapText="1"/>
    </xf>
    <xf numFmtId="165" fontId="83" fillId="55" borderId="97" xfId="50" applyNumberFormat="1" applyFont="1" applyBorder="1" applyAlignment="1">
      <alignment vertical="center"/>
    </xf>
    <xf numFmtId="9" fontId="83" fillId="57" borderId="97" xfId="51" applyFont="1" applyFill="1" applyBorder="1" applyAlignment="1">
      <alignment horizontal="center" vertical="center"/>
    </xf>
    <xf numFmtId="165" fontId="83" fillId="61" borderId="97" xfId="50" applyNumberFormat="1" applyFont="1" applyFill="1" applyBorder="1" applyAlignment="1">
      <alignment vertical="center"/>
    </xf>
    <xf numFmtId="165" fontId="86" fillId="55" borderId="96" xfId="56" applyAlignment="1">
      <alignment vertical="center"/>
    </xf>
    <xf numFmtId="0" fontId="86" fillId="63" borderId="101" xfId="56" applyNumberFormat="1" applyFont="1" applyFill="1" applyBorder="1" applyAlignment="1">
      <alignment horizontal="center" vertical="center"/>
    </xf>
    <xf numFmtId="165" fontId="86" fillId="61" borderId="101" xfId="56" applyFill="1" applyBorder="1" applyAlignment="1">
      <alignment horizontal="center" vertical="center"/>
    </xf>
    <xf numFmtId="0" fontId="86" fillId="61" borderId="97" xfId="56" applyNumberFormat="1" applyFont="1" applyFill="1" applyBorder="1" applyAlignment="1">
      <alignment horizontal="center" vertical="center"/>
    </xf>
    <xf numFmtId="0" fontId="87" fillId="61" borderId="101" xfId="56" applyNumberFormat="1" applyFont="1" applyFill="1" applyBorder="1" applyAlignment="1">
      <alignment horizontal="center" vertical="center"/>
    </xf>
    <xf numFmtId="165" fontId="87" fillId="55" borderId="101" xfId="56" applyFont="1" applyBorder="1" applyAlignment="1">
      <alignment horizontal="center" vertical="center"/>
    </xf>
    <xf numFmtId="49" fontId="86" fillId="55" borderId="97" xfId="56" applyNumberFormat="1" applyBorder="1" applyAlignment="1">
      <alignment vertical="center"/>
    </xf>
    <xf numFmtId="0" fontId="86" fillId="55" borderId="97" xfId="56" applyNumberFormat="1" applyBorder="1" applyAlignment="1">
      <alignment horizontal="center" vertical="center"/>
    </xf>
    <xf numFmtId="164" fontId="83" fillId="55" borderId="96" xfId="50" applyFont="1" applyAlignment="1">
      <alignment vertical="center"/>
    </xf>
    <xf numFmtId="0" fontId="95" fillId="55" borderId="96" xfId="52" applyFont="1"/>
    <xf numFmtId="164" fontId="95" fillId="55" borderId="96" xfId="50" applyFont="1"/>
    <xf numFmtId="0" fontId="95" fillId="55" borderId="96" xfId="52" applyFont="1" applyAlignment="1">
      <alignment horizontal="center" vertical="center"/>
    </xf>
    <xf numFmtId="168" fontId="95" fillId="55" borderId="96" xfId="52" applyNumberFormat="1" applyFont="1"/>
    <xf numFmtId="9" fontId="83" fillId="55" borderId="97" xfId="51" applyFont="1" applyBorder="1"/>
    <xf numFmtId="10" fontId="83" fillId="55" borderId="97" xfId="51" applyNumberFormat="1" applyFont="1" applyBorder="1" applyAlignment="1">
      <alignment horizontal="center" vertical="center"/>
    </xf>
    <xf numFmtId="10" fontId="83" fillId="55" borderId="96" xfId="51" applyNumberFormat="1" applyFont="1"/>
    <xf numFmtId="165" fontId="86" fillId="55" borderId="96" xfId="48" applyFont="1"/>
    <xf numFmtId="164" fontId="83" fillId="55" borderId="97" xfId="50" applyFont="1" applyBorder="1" applyAlignment="1">
      <alignment vertical="center" wrapText="1"/>
    </xf>
    <xf numFmtId="0" fontId="96" fillId="55" borderId="97" xfId="52" applyFont="1" applyBorder="1" applyAlignment="1">
      <alignment horizontal="center" vertical="center"/>
    </xf>
    <xf numFmtId="0" fontId="95" fillId="55" borderId="96" xfId="50" applyNumberFormat="1" applyFont="1" applyAlignment="1">
      <alignment horizontal="center" vertical="center"/>
    </xf>
    <xf numFmtId="0" fontId="96" fillId="55" borderId="97" xfId="52" applyNumberFormat="1" applyFont="1" applyBorder="1" applyAlignment="1">
      <alignment horizontal="center" vertical="center"/>
    </xf>
    <xf numFmtId="0" fontId="95" fillId="55" borderId="97" xfId="52" applyFont="1" applyBorder="1" applyAlignment="1">
      <alignment horizontal="center" vertical="center"/>
    </xf>
    <xf numFmtId="0" fontId="95" fillId="55" borderId="97" xfId="52" applyFont="1" applyBorder="1" applyAlignment="1">
      <alignment horizontal="left" vertical="center"/>
    </xf>
    <xf numFmtId="0" fontId="95" fillId="55" borderId="97" xfId="50" applyNumberFormat="1" applyFont="1" applyBorder="1" applyAlignment="1">
      <alignment horizontal="center" vertical="center"/>
    </xf>
    <xf numFmtId="0" fontId="96" fillId="55" borderId="97" xfId="52" applyFont="1" applyBorder="1" applyAlignment="1">
      <alignment horizontal="center" vertical="center" wrapText="1"/>
    </xf>
    <xf numFmtId="164" fontId="95" fillId="55" borderId="97" xfId="50" applyFont="1" applyBorder="1"/>
    <xf numFmtId="165" fontId="96" fillId="55" borderId="97" xfId="48" applyFont="1" applyBorder="1" applyAlignment="1">
      <alignment horizontal="center" vertical="center"/>
    </xf>
    <xf numFmtId="0" fontId="96" fillId="55" borderId="97" xfId="48" applyNumberFormat="1" applyFont="1" applyBorder="1" applyAlignment="1">
      <alignment horizontal="center" vertical="center"/>
    </xf>
    <xf numFmtId="165" fontId="95" fillId="55" borderId="97" xfId="48" applyFont="1" applyBorder="1" applyAlignment="1">
      <alignment horizontal="left" vertical="center"/>
    </xf>
    <xf numFmtId="165" fontId="95" fillId="55" borderId="97" xfId="48" applyFont="1" applyBorder="1" applyAlignment="1">
      <alignment horizontal="center" vertical="center"/>
    </xf>
    <xf numFmtId="0" fontId="95" fillId="55" borderId="97" xfId="48" applyNumberFormat="1" applyFont="1" applyBorder="1" applyAlignment="1">
      <alignment horizontal="center" vertical="center"/>
    </xf>
    <xf numFmtId="0" fontId="86" fillId="61" borderId="97" xfId="56" applyNumberFormat="1" applyFont="1" applyFill="1" applyBorder="1" applyAlignment="1">
      <alignment wrapText="1"/>
    </xf>
    <xf numFmtId="165" fontId="83" fillId="58" borderId="97" xfId="48" applyFill="1" applyBorder="1"/>
    <xf numFmtId="10" fontId="83" fillId="55" borderId="109" xfId="51" applyNumberFormat="1" applyFont="1" applyBorder="1" applyAlignment="1">
      <alignment horizontal="center" vertical="center"/>
    </xf>
    <xf numFmtId="10" fontId="83" fillId="55" borderId="110" xfId="51" applyNumberFormat="1" applyFont="1" applyBorder="1" applyAlignment="1">
      <alignment horizontal="center" vertical="center"/>
    </xf>
    <xf numFmtId="10" fontId="83" fillId="55" borderId="101" xfId="51" applyNumberFormat="1" applyFont="1" applyBorder="1" applyAlignment="1">
      <alignment horizontal="center" vertical="center"/>
    </xf>
    <xf numFmtId="164" fontId="83" fillId="55" borderId="109" xfId="50" applyFont="1" applyBorder="1" applyAlignment="1">
      <alignment horizontal="center" vertical="center" wrapText="1"/>
    </xf>
    <xf numFmtId="164" fontId="83" fillId="55" borderId="110" xfId="50" applyFont="1" applyBorder="1" applyAlignment="1">
      <alignment horizontal="center" vertical="center" wrapText="1"/>
    </xf>
    <xf numFmtId="164" fontId="83" fillId="55" borderId="101" xfId="50" applyFont="1" applyBorder="1" applyAlignment="1">
      <alignment horizontal="center" vertical="center" wrapText="1"/>
    </xf>
    <xf numFmtId="165" fontId="96" fillId="55" borderId="97" xfId="48" applyFont="1" applyBorder="1" applyAlignment="1">
      <alignment horizontal="center" vertical="center"/>
    </xf>
    <xf numFmtId="165" fontId="96" fillId="55" borderId="98" xfId="48" applyFont="1" applyBorder="1" applyAlignment="1">
      <alignment horizontal="center" vertical="center"/>
    </xf>
    <xf numFmtId="165" fontId="96" fillId="55" borderId="111" xfId="48" applyFont="1" applyBorder="1" applyAlignment="1">
      <alignment horizontal="center" vertical="center"/>
    </xf>
    <xf numFmtId="165" fontId="96" fillId="55" borderId="103" xfId="48" applyFont="1" applyBorder="1" applyAlignment="1">
      <alignment horizontal="center" vertical="center"/>
    </xf>
    <xf numFmtId="10" fontId="91" fillId="55" borderId="104" xfId="51" applyNumberFormat="1" applyFont="1" applyFill="1" applyBorder="1" applyAlignment="1">
      <alignment horizontal="center" vertical="center" wrapText="1"/>
    </xf>
    <xf numFmtId="10" fontId="83" fillId="55" borderId="105" xfId="51" applyNumberFormat="1" applyFont="1" applyBorder="1" applyAlignment="1">
      <alignment horizontal="center" vertical="center"/>
    </xf>
    <xf numFmtId="10" fontId="83" fillId="55" borderId="106" xfId="51" applyNumberFormat="1" applyFont="1" applyBorder="1" applyAlignment="1">
      <alignment horizontal="center" vertical="center"/>
    </xf>
    <xf numFmtId="10" fontId="83" fillId="55" borderId="107" xfId="51" applyNumberFormat="1" applyFont="1" applyBorder="1" applyAlignment="1">
      <alignment horizontal="center" vertical="center"/>
    </xf>
    <xf numFmtId="10" fontId="83" fillId="55" borderId="102" xfId="51" applyNumberFormat="1" applyFont="1" applyBorder="1" applyAlignment="1">
      <alignment horizontal="center" vertical="center"/>
    </xf>
    <xf numFmtId="10" fontId="83" fillId="55" borderId="108" xfId="51" applyNumberFormat="1" applyFont="1" applyBorder="1" applyAlignment="1">
      <alignment horizontal="center" vertical="center"/>
    </xf>
    <xf numFmtId="10" fontId="91" fillId="55" borderId="98" xfId="51" applyNumberFormat="1" applyFont="1" applyFill="1" applyBorder="1" applyAlignment="1">
      <alignment horizontal="center" vertical="center"/>
    </xf>
    <xf numFmtId="10" fontId="83" fillId="55" borderId="103" xfId="51" applyNumberFormat="1" applyFont="1" applyBorder="1" applyAlignment="1">
      <alignment horizontal="center" vertical="center"/>
    </xf>
    <xf numFmtId="165" fontId="97" fillId="67" borderId="112" xfId="60"/>
    <xf numFmtId="165" fontId="97" fillId="67" borderId="112" xfId="60" applyAlignment="1">
      <alignment horizontal="center"/>
    </xf>
    <xf numFmtId="165" fontId="97" fillId="67" borderId="113" xfId="60" applyBorder="1"/>
    <xf numFmtId="165" fontId="101" fillId="67" borderId="113" xfId="60" applyFont="1" applyBorder="1"/>
    <xf numFmtId="165" fontId="100" fillId="67" borderId="113" xfId="60" applyFont="1" applyBorder="1" applyAlignment="1">
      <alignment wrapText="1"/>
    </xf>
    <xf numFmtId="0" fontId="97" fillId="67" borderId="113" xfId="60" applyNumberFormat="1" applyBorder="1" applyAlignment="1">
      <alignment horizontal="center"/>
    </xf>
    <xf numFmtId="0" fontId="97" fillId="67" borderId="112" xfId="60" applyNumberFormat="1" applyAlignment="1">
      <alignment horizontal="center"/>
    </xf>
    <xf numFmtId="0" fontId="101" fillId="67" borderId="113" xfId="60" applyNumberFormat="1" applyFont="1" applyBorder="1" applyAlignment="1">
      <alignment horizontal="center"/>
    </xf>
    <xf numFmtId="165" fontId="100" fillId="67" borderId="113" xfId="60" applyFont="1" applyBorder="1"/>
    <xf numFmtId="165" fontId="97" fillId="67" borderId="113" xfId="60" applyBorder="1" applyAlignment="1">
      <alignment wrapText="1"/>
    </xf>
    <xf numFmtId="165" fontId="101" fillId="71" borderId="113" xfId="60" applyFont="1" applyFill="1" applyBorder="1" applyAlignment="1">
      <alignment wrapText="1"/>
    </xf>
    <xf numFmtId="165" fontId="101" fillId="71" borderId="113" xfId="60" applyFont="1" applyFill="1" applyBorder="1" applyAlignment="1">
      <alignment horizontal="center"/>
    </xf>
    <xf numFmtId="165" fontId="101" fillId="67" borderId="112" xfId="60" applyFont="1"/>
    <xf numFmtId="165" fontId="97" fillId="67" borderId="113" xfId="60" applyFont="1" applyFill="1" applyBorder="1" applyAlignment="1">
      <alignment wrapText="1"/>
    </xf>
    <xf numFmtId="165" fontId="101" fillId="71" borderId="113" xfId="60" applyFont="1" applyFill="1" applyBorder="1" applyAlignment="1">
      <alignment horizontal="center" wrapText="1"/>
    </xf>
    <xf numFmtId="165" fontId="100" fillId="67" borderId="113" xfId="60" applyFont="1" applyFill="1" applyBorder="1" applyAlignment="1">
      <alignment wrapText="1"/>
    </xf>
    <xf numFmtId="165" fontId="100" fillId="67" borderId="113" xfId="60" applyFont="1" applyBorder="1" applyAlignment="1">
      <alignment horizontal="center" vertical="center" wrapText="1"/>
    </xf>
    <xf numFmtId="165" fontId="100" fillId="67" borderId="113" xfId="60" applyFont="1" applyFill="1" applyBorder="1" applyAlignment="1">
      <alignment horizontal="center" vertical="center" wrapText="1"/>
    </xf>
    <xf numFmtId="0" fontId="100" fillId="67" borderId="113" xfId="68" applyNumberFormat="1" applyFont="1" applyFill="1" applyBorder="1" applyAlignment="1">
      <alignment horizontal="center"/>
    </xf>
    <xf numFmtId="165" fontId="97" fillId="72" borderId="113" xfId="60" applyFill="1" applyBorder="1" applyAlignment="1">
      <alignment horizontal="center"/>
    </xf>
    <xf numFmtId="164" fontId="97" fillId="72" borderId="113" xfId="62" applyFont="1" applyFill="1" applyBorder="1" applyAlignment="1">
      <alignment horizontal="center"/>
    </xf>
    <xf numFmtId="9" fontId="97" fillId="72" borderId="113" xfId="63" applyFont="1" applyFill="1" applyBorder="1" applyAlignment="1">
      <alignment horizontal="center"/>
    </xf>
    <xf numFmtId="0" fontId="97" fillId="72" borderId="113" xfId="60" applyNumberFormat="1" applyFill="1" applyBorder="1" applyAlignment="1">
      <alignment horizontal="center"/>
    </xf>
    <xf numFmtId="9" fontId="97" fillId="67" borderId="112" xfId="63" applyFont="1"/>
    <xf numFmtId="165" fontId="97" fillId="67" borderId="113" xfId="62" applyNumberFormat="1" applyFont="1" applyBorder="1"/>
    <xf numFmtId="9" fontId="97" fillId="69" borderId="113" xfId="63" applyFont="1" applyFill="1" applyBorder="1" applyAlignment="1">
      <alignment horizontal="center"/>
    </xf>
    <xf numFmtId="165" fontId="97" fillId="67" borderId="113" xfId="62" applyNumberFormat="1" applyFont="1" applyFill="1" applyBorder="1"/>
    <xf numFmtId="165" fontId="101" fillId="67" borderId="113" xfId="62" applyNumberFormat="1" applyFont="1" applyBorder="1"/>
    <xf numFmtId="165" fontId="100" fillId="67" borderId="113" xfId="68" applyFont="1" applyBorder="1" applyAlignment="1">
      <alignment horizontal="center" wrapText="1"/>
    </xf>
    <xf numFmtId="165" fontId="100" fillId="67" borderId="113" xfId="68" applyFont="1" applyBorder="1" applyAlignment="1">
      <alignment horizontal="center"/>
    </xf>
    <xf numFmtId="165" fontId="100" fillId="67" borderId="113" xfId="68" applyFont="1" applyBorder="1" applyAlignment="1">
      <alignment wrapText="1"/>
    </xf>
    <xf numFmtId="9" fontId="101" fillId="74" borderId="113" xfId="63" applyFont="1" applyFill="1" applyBorder="1" applyAlignment="1">
      <alignment horizontal="center"/>
    </xf>
    <xf numFmtId="9" fontId="105" fillId="67" borderId="117" xfId="63" applyFont="1" applyFill="1" applyBorder="1" applyAlignment="1">
      <alignment horizontal="center"/>
    </xf>
    <xf numFmtId="164" fontId="97" fillId="67" borderId="112" xfId="62" applyFont="1"/>
    <xf numFmtId="0" fontId="104" fillId="70" borderId="115" xfId="68" applyNumberFormat="1" applyFont="1" applyFill="1" applyBorder="1" applyAlignment="1">
      <alignment horizontal="center"/>
    </xf>
    <xf numFmtId="165" fontId="104" fillId="70" borderId="116" xfId="68" applyFont="1" applyFill="1" applyBorder="1" applyAlignment="1">
      <alignment horizontal="center"/>
    </xf>
    <xf numFmtId="165" fontId="105" fillId="70" borderId="116" xfId="68" applyFont="1" applyFill="1" applyBorder="1" applyAlignment="1">
      <alignment horizontal="left" wrapText="1"/>
    </xf>
    <xf numFmtId="165" fontId="105" fillId="70" borderId="116" xfId="68" applyFont="1" applyFill="1" applyBorder="1" applyAlignment="1">
      <alignment horizontal="center"/>
    </xf>
    <xf numFmtId="165" fontId="105" fillId="70" borderId="116" xfId="68" applyFont="1" applyFill="1" applyBorder="1" applyAlignment="1">
      <alignment horizontal="center" wrapText="1"/>
    </xf>
    <xf numFmtId="0" fontId="105" fillId="70" borderId="116" xfId="68" applyNumberFormat="1" applyFont="1" applyFill="1" applyBorder="1" applyAlignment="1">
      <alignment horizontal="center"/>
    </xf>
    <xf numFmtId="165" fontId="105" fillId="67" borderId="112" xfId="68" applyFont="1"/>
    <xf numFmtId="0" fontId="100" fillId="67" borderId="113" xfId="68" applyNumberFormat="1" applyFont="1" applyBorder="1" applyAlignment="1">
      <alignment horizontal="center" wrapText="1"/>
    </xf>
    <xf numFmtId="165" fontId="100" fillId="73" borderId="113" xfId="68" applyFont="1" applyFill="1" applyBorder="1" applyAlignment="1">
      <alignment wrapText="1"/>
    </xf>
    <xf numFmtId="165" fontId="105" fillId="67" borderId="117" xfId="68" applyFont="1" applyFill="1" applyBorder="1" applyAlignment="1">
      <alignment horizontal="left" wrapText="1"/>
    </xf>
    <xf numFmtId="165" fontId="105" fillId="67" borderId="117" xfId="68" applyFont="1" applyFill="1" applyBorder="1" applyAlignment="1">
      <alignment horizontal="center"/>
    </xf>
    <xf numFmtId="165" fontId="105" fillId="67" borderId="112" xfId="68" applyFont="1" applyFill="1"/>
    <xf numFmtId="0" fontId="101" fillId="74" borderId="113" xfId="68" applyNumberFormat="1" applyFont="1" applyFill="1" applyBorder="1" applyAlignment="1">
      <alignment horizontal="center"/>
    </xf>
    <xf numFmtId="165" fontId="101" fillId="74" borderId="113" xfId="68" applyFont="1" applyFill="1" applyBorder="1" applyAlignment="1">
      <alignment horizontal="center"/>
    </xf>
    <xf numFmtId="165" fontId="101" fillId="74" borderId="113" xfId="68" applyFont="1" applyFill="1" applyBorder="1" applyAlignment="1">
      <alignment horizontal="center" wrapText="1"/>
    </xf>
    <xf numFmtId="167" fontId="101" fillId="74" borderId="113" xfId="68" applyNumberFormat="1" applyFont="1" applyFill="1" applyBorder="1" applyAlignment="1">
      <alignment horizontal="center"/>
    </xf>
    <xf numFmtId="165" fontId="100" fillId="67" borderId="112" xfId="68"/>
    <xf numFmtId="165" fontId="101" fillId="67" borderId="117" xfId="68" applyFont="1" applyBorder="1" applyAlignment="1">
      <alignment horizontal="center"/>
    </xf>
    <xf numFmtId="165" fontId="100" fillId="67" borderId="113" xfId="68" applyFont="1" applyBorder="1" applyAlignment="1">
      <alignment horizontal="left" wrapText="1"/>
    </xf>
    <xf numFmtId="165" fontId="100" fillId="67" borderId="113" xfId="68" applyBorder="1" applyAlignment="1">
      <alignment horizontal="center"/>
    </xf>
    <xf numFmtId="0" fontId="100" fillId="67" borderId="113" xfId="68" applyNumberFormat="1" applyBorder="1" applyAlignment="1">
      <alignment horizontal="center"/>
    </xf>
    <xf numFmtId="165" fontId="100" fillId="67" borderId="113" xfId="68" applyFont="1" applyBorder="1" applyAlignment="1">
      <alignment horizontal="center" vertical="center"/>
    </xf>
    <xf numFmtId="0" fontId="100" fillId="73" borderId="113" xfId="68" applyNumberFormat="1" applyFont="1" applyFill="1" applyBorder="1" applyAlignment="1">
      <alignment horizontal="center"/>
    </xf>
    <xf numFmtId="165" fontId="100" fillId="67" borderId="112" xfId="68" applyNumberFormat="1"/>
    <xf numFmtId="165" fontId="100" fillId="67" borderId="113" xfId="68" applyFont="1" applyBorder="1"/>
    <xf numFmtId="165" fontId="100" fillId="67" borderId="117" xfId="68" applyBorder="1" applyAlignment="1">
      <alignment horizontal="center"/>
    </xf>
    <xf numFmtId="165" fontId="100" fillId="73" borderId="113" xfId="68" applyFont="1" applyFill="1" applyBorder="1" applyAlignment="1">
      <alignment horizontal="center"/>
    </xf>
    <xf numFmtId="165" fontId="101" fillId="73" borderId="117" xfId="68" applyFont="1" applyFill="1" applyBorder="1" applyAlignment="1">
      <alignment wrapText="1"/>
    </xf>
    <xf numFmtId="164" fontId="100" fillId="67" borderId="112" xfId="62"/>
    <xf numFmtId="165" fontId="100" fillId="67" borderId="114" xfId="68" applyFont="1" applyFill="1" applyBorder="1" applyAlignment="1">
      <alignment wrapText="1"/>
    </xf>
    <xf numFmtId="0" fontId="101" fillId="67" borderId="112" xfId="68" applyNumberFormat="1" applyFont="1" applyAlignment="1">
      <alignment horizontal="center"/>
    </xf>
    <xf numFmtId="165" fontId="100" fillId="67" borderId="112" xfId="68" applyAlignment="1">
      <alignment horizontal="center"/>
    </xf>
    <xf numFmtId="165" fontId="100" fillId="67" borderId="112" xfId="68" applyAlignment="1">
      <alignment wrapText="1"/>
    </xf>
    <xf numFmtId="165" fontId="100" fillId="67" borderId="112" xfId="68" applyAlignment="1">
      <alignment horizontal="center" wrapText="1"/>
    </xf>
    <xf numFmtId="0" fontId="100" fillId="67" borderId="112" xfId="68" applyNumberFormat="1" applyAlignment="1">
      <alignment horizontal="center"/>
    </xf>
    <xf numFmtId="167" fontId="100" fillId="67" borderId="112" xfId="68" applyNumberFormat="1"/>
    <xf numFmtId="0" fontId="101" fillId="73" borderId="117" xfId="68" applyNumberFormat="1" applyFont="1" applyFill="1" applyBorder="1" applyAlignment="1">
      <alignment horizontal="center"/>
    </xf>
    <xf numFmtId="0" fontId="100" fillId="73" borderId="117" xfId="68" applyNumberFormat="1" applyFont="1" applyFill="1" applyBorder="1" applyAlignment="1">
      <alignment horizontal="center"/>
    </xf>
    <xf numFmtId="165" fontId="100" fillId="73" borderId="113" xfId="68" applyFont="1" applyFill="1" applyBorder="1" applyAlignment="1">
      <alignment vertical="center" wrapText="1"/>
    </xf>
    <xf numFmtId="165" fontId="100" fillId="67" borderId="114" xfId="60" applyFont="1" applyBorder="1" applyAlignment="1">
      <alignment horizontal="center" wrapText="1"/>
    </xf>
    <xf numFmtId="165" fontId="97" fillId="73" borderId="113" xfId="62" applyNumberFormat="1" applyFont="1" applyFill="1" applyBorder="1"/>
    <xf numFmtId="164" fontId="105" fillId="67" borderId="112" xfId="62" applyFont="1"/>
    <xf numFmtId="165" fontId="100" fillId="67" borderId="114" xfId="68" applyFont="1" applyBorder="1" applyAlignment="1">
      <alignment horizontal="center" wrapText="1"/>
    </xf>
    <xf numFmtId="165" fontId="104" fillId="70" borderId="116" xfId="68" applyFont="1" applyFill="1" applyBorder="1" applyAlignment="1">
      <alignment wrapText="1"/>
    </xf>
    <xf numFmtId="164" fontId="105" fillId="70" borderId="116" xfId="62" applyFont="1" applyFill="1" applyBorder="1"/>
    <xf numFmtId="165" fontId="104" fillId="70" borderId="113" xfId="62" applyNumberFormat="1" applyFont="1" applyFill="1" applyBorder="1"/>
    <xf numFmtId="10" fontId="104" fillId="70" borderId="113" xfId="63" applyNumberFormat="1" applyFont="1" applyFill="1" applyBorder="1" applyAlignment="1">
      <alignment horizontal="center"/>
    </xf>
    <xf numFmtId="164" fontId="104" fillId="70" borderId="113" xfId="62" applyFont="1" applyFill="1" applyBorder="1"/>
    <xf numFmtId="164" fontId="104" fillId="67" borderId="118" xfId="62" applyFont="1" applyFill="1" applyBorder="1" applyAlignment="1">
      <alignment wrapText="1"/>
    </xf>
    <xf numFmtId="164" fontId="105" fillId="67" borderId="117" xfId="62" applyFont="1" applyFill="1" applyBorder="1" applyAlignment="1">
      <alignment horizontal="center"/>
    </xf>
    <xf numFmtId="165" fontId="105" fillId="67" borderId="113" xfId="62" applyNumberFormat="1" applyFont="1" applyFill="1" applyBorder="1"/>
    <xf numFmtId="9" fontId="105" fillId="67" borderId="113" xfId="63" applyFont="1" applyFill="1" applyBorder="1" applyAlignment="1">
      <alignment horizontal="center"/>
    </xf>
    <xf numFmtId="164" fontId="105" fillId="67" borderId="113" xfId="62" applyFont="1" applyFill="1" applyBorder="1"/>
    <xf numFmtId="165" fontId="106" fillId="67" borderId="112" xfId="68" applyFont="1"/>
    <xf numFmtId="2" fontId="100" fillId="67" borderId="113" xfId="68" applyNumberFormat="1" applyFont="1" applyBorder="1" applyAlignment="1">
      <alignment wrapText="1"/>
    </xf>
    <xf numFmtId="165" fontId="100" fillId="67" borderId="125" xfId="68" applyFont="1" applyBorder="1" applyAlignment="1">
      <alignment wrapText="1"/>
    </xf>
    <xf numFmtId="165" fontId="101" fillId="67" borderId="113" xfId="68" applyFont="1" applyBorder="1" applyAlignment="1">
      <alignment wrapText="1"/>
    </xf>
    <xf numFmtId="49" fontId="100" fillId="67" borderId="113" xfId="68" applyNumberFormat="1" applyBorder="1" applyAlignment="1">
      <alignment horizontal="center"/>
    </xf>
    <xf numFmtId="165" fontId="100" fillId="73" borderId="117" xfId="68" applyFill="1" applyBorder="1" applyAlignment="1">
      <alignment horizontal="center"/>
    </xf>
    <xf numFmtId="49" fontId="100" fillId="67" borderId="113" xfId="68" applyNumberFormat="1" applyBorder="1"/>
    <xf numFmtId="49" fontId="100" fillId="67" borderId="113" xfId="68" applyNumberFormat="1" applyFont="1" applyBorder="1" applyAlignment="1">
      <alignment horizontal="center"/>
    </xf>
    <xf numFmtId="165" fontId="100" fillId="73" borderId="113" xfId="62" applyNumberFormat="1" applyFont="1" applyFill="1" applyBorder="1"/>
    <xf numFmtId="165" fontId="101" fillId="67" borderId="118" xfId="68" applyFont="1" applyBorder="1" applyAlignment="1">
      <alignment wrapText="1"/>
    </xf>
    <xf numFmtId="0" fontId="101" fillId="67" borderId="113" xfId="68" applyNumberFormat="1" applyFont="1" applyBorder="1" applyAlignment="1">
      <alignment horizontal="center"/>
    </xf>
    <xf numFmtId="165" fontId="100" fillId="73" borderId="113" xfId="68" applyFont="1" applyFill="1" applyBorder="1" applyAlignment="1">
      <alignment horizontal="left" wrapText="1"/>
    </xf>
    <xf numFmtId="165" fontId="100" fillId="73" borderId="113" xfId="68" applyFont="1" applyFill="1" applyBorder="1" applyAlignment="1">
      <alignment horizontal="center" wrapText="1"/>
    </xf>
    <xf numFmtId="0" fontId="100" fillId="73" borderId="113" xfId="68" applyNumberFormat="1" applyFill="1" applyBorder="1" applyAlignment="1">
      <alignment horizontal="center"/>
    </xf>
    <xf numFmtId="165" fontId="100" fillId="73" borderId="118" xfId="68" applyFont="1" applyFill="1" applyBorder="1" applyAlignment="1">
      <alignment horizontal="left" wrapText="1"/>
    </xf>
    <xf numFmtId="165" fontId="100" fillId="67" borderId="113" xfId="62" applyNumberFormat="1" applyFont="1" applyBorder="1"/>
    <xf numFmtId="165" fontId="101" fillId="67" borderId="112" xfId="68" applyFont="1" applyAlignment="1">
      <alignment wrapText="1"/>
    </xf>
    <xf numFmtId="165" fontId="101" fillId="73" borderId="113" xfId="62" applyNumberFormat="1" applyFont="1" applyFill="1" applyBorder="1"/>
    <xf numFmtId="49" fontId="100" fillId="73" borderId="113" xfId="68" applyNumberFormat="1" applyFill="1" applyBorder="1" applyAlignment="1">
      <alignment horizontal="center"/>
    </xf>
    <xf numFmtId="49" fontId="100" fillId="67" borderId="113" xfId="68" applyNumberFormat="1" applyBorder="1" applyAlignment="1">
      <alignment horizontal="center" vertical="center"/>
    </xf>
    <xf numFmtId="165" fontId="100" fillId="67" borderId="113" xfId="68" applyFont="1" applyBorder="1" applyAlignment="1">
      <alignment horizontal="center" vertical="center" wrapText="1"/>
    </xf>
    <xf numFmtId="165" fontId="100" fillId="67" borderId="118" xfId="68" applyFont="1" applyBorder="1" applyAlignment="1">
      <alignment wrapText="1"/>
    </xf>
    <xf numFmtId="165" fontId="101" fillId="67" borderId="117" xfId="68" applyFont="1" applyBorder="1" applyAlignment="1">
      <alignment wrapText="1"/>
    </xf>
    <xf numFmtId="165" fontId="100" fillId="67" borderId="117" xfId="68" applyFont="1" applyBorder="1" applyAlignment="1">
      <alignment wrapText="1"/>
    </xf>
    <xf numFmtId="49" fontId="100" fillId="67" borderId="113" xfId="68" applyNumberFormat="1" applyFont="1" applyBorder="1"/>
    <xf numFmtId="165" fontId="101" fillId="73" borderId="113" xfId="68" applyFont="1" applyFill="1" applyBorder="1" applyAlignment="1">
      <alignment wrapText="1"/>
    </xf>
    <xf numFmtId="0" fontId="101" fillId="73" borderId="113" xfId="68" applyNumberFormat="1" applyFont="1" applyFill="1" applyBorder="1" applyAlignment="1">
      <alignment horizontal="center" wrapText="1"/>
    </xf>
    <xf numFmtId="0" fontId="101" fillId="67" borderId="113" xfId="68" applyNumberFormat="1" applyFont="1" applyBorder="1" applyAlignment="1">
      <alignment horizontal="center" wrapText="1"/>
    </xf>
    <xf numFmtId="165" fontId="100" fillId="67" borderId="113" xfId="68" applyBorder="1" applyAlignment="1">
      <alignment wrapText="1"/>
    </xf>
    <xf numFmtId="165" fontId="100" fillId="67" borderId="113" xfId="68" applyBorder="1" applyAlignment="1">
      <alignment horizontal="center" wrapText="1"/>
    </xf>
    <xf numFmtId="165" fontId="100" fillId="67" borderId="113" xfId="68" applyNumberFormat="1" applyBorder="1"/>
    <xf numFmtId="165" fontId="101" fillId="67" borderId="113" xfId="68" applyFont="1" applyBorder="1" applyAlignment="1">
      <alignment horizontal="left" wrapText="1"/>
    </xf>
    <xf numFmtId="164" fontId="101" fillId="67" borderId="112" xfId="62" applyFont="1"/>
    <xf numFmtId="9" fontId="101" fillId="69" borderId="113" xfId="63" applyFont="1" applyFill="1" applyBorder="1" applyAlignment="1">
      <alignment horizontal="center"/>
    </xf>
    <xf numFmtId="165" fontId="100" fillId="67" borderId="117" xfId="68" applyFont="1" applyBorder="1" applyAlignment="1">
      <alignment horizontal="left"/>
    </xf>
    <xf numFmtId="165" fontId="100" fillId="73" borderId="113" xfId="68" applyFill="1" applyBorder="1" applyAlignment="1">
      <alignment horizontal="center"/>
    </xf>
    <xf numFmtId="0" fontId="97" fillId="67" borderId="112" xfId="60" applyNumberFormat="1"/>
    <xf numFmtId="165" fontId="97" fillId="67" borderId="113" xfId="60" applyBorder="1" applyAlignment="1">
      <alignment horizontal="center"/>
    </xf>
    <xf numFmtId="0" fontId="100" fillId="67" borderId="113" xfId="60" applyNumberFormat="1" applyFont="1" applyFill="1" applyBorder="1" applyAlignment="1">
      <alignment horizontal="center"/>
    </xf>
    <xf numFmtId="0" fontId="101" fillId="72" borderId="113" xfId="60" applyNumberFormat="1" applyFont="1" applyFill="1" applyBorder="1" applyAlignment="1">
      <alignment horizontal="center"/>
    </xf>
    <xf numFmtId="165" fontId="101" fillId="72" borderId="113" xfId="60" applyFont="1" applyFill="1" applyBorder="1" applyAlignment="1">
      <alignment horizontal="center"/>
    </xf>
    <xf numFmtId="168" fontId="101" fillId="72" borderId="113" xfId="60" applyNumberFormat="1" applyFont="1" applyFill="1" applyBorder="1" applyAlignment="1">
      <alignment horizontal="center"/>
    </xf>
    <xf numFmtId="165" fontId="101" fillId="72" borderId="113" xfId="60" applyFont="1" applyFill="1" applyBorder="1" applyAlignment="1">
      <alignment horizontal="center" wrapText="1"/>
    </xf>
    <xf numFmtId="0" fontId="101" fillId="76" borderId="113" xfId="60" applyNumberFormat="1" applyFont="1" applyFill="1" applyBorder="1" applyAlignment="1">
      <alignment horizontal="center"/>
    </xf>
    <xf numFmtId="165" fontId="101" fillId="76" borderId="113" xfId="60" applyFont="1" applyFill="1" applyBorder="1" applyAlignment="1">
      <alignment horizontal="left"/>
    </xf>
    <xf numFmtId="165" fontId="97" fillId="76" borderId="113" xfId="60" applyFill="1" applyBorder="1" applyAlignment="1">
      <alignment horizontal="center"/>
    </xf>
    <xf numFmtId="164" fontId="97" fillId="76" borderId="113" xfId="62" applyFont="1" applyFill="1" applyBorder="1"/>
    <xf numFmtId="168" fontId="101" fillId="76" borderId="113" xfId="62" applyNumberFormat="1" applyFont="1" applyFill="1" applyBorder="1"/>
    <xf numFmtId="164" fontId="107" fillId="77" borderId="113" xfId="62" applyFont="1" applyFill="1" applyBorder="1" applyAlignment="1">
      <alignment horizontal="right"/>
    </xf>
    <xf numFmtId="165" fontId="108" fillId="67" borderId="113" xfId="60" applyFont="1" applyBorder="1" applyAlignment="1">
      <alignment horizontal="right"/>
    </xf>
    <xf numFmtId="9" fontId="97" fillId="67" borderId="113" xfId="63" applyFont="1" applyBorder="1" applyAlignment="1">
      <alignment horizontal="center"/>
    </xf>
    <xf numFmtId="164" fontId="97" fillId="67" borderId="113" xfId="62" applyFont="1" applyBorder="1"/>
    <xf numFmtId="168" fontId="108" fillId="67" borderId="113" xfId="62" applyNumberFormat="1" applyFont="1" applyBorder="1" applyAlignment="1">
      <alignment horizontal="right"/>
    </xf>
    <xf numFmtId="164" fontId="108" fillId="67" borderId="113" xfId="62" applyFont="1" applyBorder="1" applyAlignment="1">
      <alignment horizontal="right"/>
    </xf>
    <xf numFmtId="165" fontId="100" fillId="67" borderId="113" xfId="60" applyFont="1" applyBorder="1" applyAlignment="1">
      <alignment horizontal="left"/>
    </xf>
    <xf numFmtId="10" fontId="97" fillId="67" borderId="113" xfId="63" applyNumberFormat="1" applyFont="1" applyBorder="1" applyAlignment="1">
      <alignment horizontal="center"/>
    </xf>
    <xf numFmtId="168" fontId="100" fillId="67" borderId="113" xfId="62" applyNumberFormat="1" applyFont="1" applyBorder="1" applyAlignment="1">
      <alignment horizontal="right"/>
    </xf>
    <xf numFmtId="164" fontId="100" fillId="67" borderId="113" xfId="62" applyFont="1" applyBorder="1" applyAlignment="1">
      <alignment horizontal="right" wrapText="1"/>
    </xf>
    <xf numFmtId="0" fontId="101" fillId="69" borderId="113" xfId="60" applyNumberFormat="1" applyFont="1" applyFill="1" applyBorder="1" applyAlignment="1">
      <alignment horizontal="center"/>
    </xf>
    <xf numFmtId="165" fontId="101" fillId="69" borderId="113" xfId="60" applyFont="1" applyFill="1" applyBorder="1"/>
    <xf numFmtId="10" fontId="97" fillId="69" borderId="113" xfId="63" applyNumberFormat="1" applyFont="1" applyFill="1" applyBorder="1" applyAlignment="1">
      <alignment horizontal="center"/>
    </xf>
    <xf numFmtId="10" fontId="101" fillId="69" borderId="113" xfId="63" applyNumberFormat="1" applyFont="1" applyFill="1" applyBorder="1" applyAlignment="1">
      <alignment horizontal="center"/>
    </xf>
    <xf numFmtId="168" fontId="101" fillId="69" borderId="113" xfId="62" applyNumberFormat="1" applyFont="1" applyFill="1" applyBorder="1"/>
    <xf numFmtId="164" fontId="101" fillId="69" borderId="113" xfId="60" applyNumberFormat="1" applyFont="1" applyFill="1" applyBorder="1" applyAlignment="1">
      <alignment wrapText="1"/>
    </xf>
    <xf numFmtId="10" fontId="97" fillId="67" borderId="113" xfId="63" applyNumberFormat="1" applyFont="1" applyBorder="1"/>
    <xf numFmtId="168" fontId="100" fillId="73" borderId="113" xfId="62" applyNumberFormat="1" applyFont="1" applyFill="1" applyBorder="1" applyAlignment="1">
      <alignment horizontal="right"/>
    </xf>
    <xf numFmtId="164" fontId="97" fillId="67" borderId="113" xfId="62" applyFont="1" applyBorder="1" applyAlignment="1">
      <alignment wrapText="1"/>
    </xf>
    <xf numFmtId="0" fontId="101" fillId="78" borderId="113" xfId="60" applyNumberFormat="1" applyFont="1" applyFill="1" applyBorder="1" applyAlignment="1">
      <alignment horizontal="center"/>
    </xf>
    <xf numFmtId="165" fontId="101" fillId="78" borderId="113" xfId="60" applyFont="1" applyFill="1" applyBorder="1"/>
    <xf numFmtId="9" fontId="101" fillId="78" borderId="113" xfId="63" applyFont="1" applyFill="1" applyBorder="1" applyAlignment="1">
      <alignment horizontal="center"/>
    </xf>
    <xf numFmtId="169" fontId="101" fillId="78" borderId="113" xfId="63" applyNumberFormat="1" applyFont="1" applyFill="1" applyBorder="1" applyAlignment="1">
      <alignment horizontal="center"/>
    </xf>
    <xf numFmtId="168" fontId="101" fillId="78" borderId="113" xfId="62" applyNumberFormat="1" applyFont="1" applyFill="1" applyBorder="1"/>
    <xf numFmtId="164" fontId="101" fillId="78" borderId="113" xfId="60" applyNumberFormat="1" applyFont="1" applyFill="1" applyBorder="1" applyAlignment="1">
      <alignment wrapText="1"/>
    </xf>
    <xf numFmtId="10" fontId="101" fillId="67" borderId="113" xfId="63" applyNumberFormat="1" applyFont="1" applyBorder="1"/>
    <xf numFmtId="168" fontId="101" fillId="67" borderId="113" xfId="62" applyNumberFormat="1" applyFont="1" applyBorder="1"/>
    <xf numFmtId="165" fontId="100" fillId="67" borderId="113" xfId="60" applyFont="1" applyBorder="1" applyAlignment="1">
      <alignment horizontal="right"/>
    </xf>
    <xf numFmtId="164" fontId="97" fillId="67" borderId="113" xfId="60" applyNumberFormat="1" applyBorder="1"/>
    <xf numFmtId="168" fontId="97" fillId="67" borderId="113" xfId="62" applyNumberFormat="1" applyFont="1" applyBorder="1"/>
    <xf numFmtId="168" fontId="101" fillId="78" borderId="113" xfId="60" applyNumberFormat="1" applyFont="1" applyFill="1" applyBorder="1"/>
    <xf numFmtId="168" fontId="97" fillId="67" borderId="113" xfId="60" applyNumberFormat="1" applyBorder="1"/>
    <xf numFmtId="165" fontId="97" fillId="67" borderId="113" xfId="60" applyBorder="1" applyAlignment="1">
      <alignment horizontal="right"/>
    </xf>
    <xf numFmtId="168" fontId="97" fillId="67" borderId="112" xfId="60" applyNumberFormat="1"/>
    <xf numFmtId="165" fontId="97" fillId="67" borderId="112" xfId="60" applyAlignment="1">
      <alignment wrapText="1"/>
    </xf>
    <xf numFmtId="0" fontId="100" fillId="75" borderId="113" xfId="68" applyNumberFormat="1" applyFont="1" applyFill="1" applyBorder="1" applyAlignment="1">
      <alignment horizontal="center"/>
    </xf>
    <xf numFmtId="165" fontId="100" fillId="75" borderId="114" xfId="68" applyFont="1" applyFill="1" applyBorder="1" applyAlignment="1">
      <alignment wrapText="1"/>
    </xf>
    <xf numFmtId="49" fontId="100" fillId="67" borderId="113" xfId="60" applyNumberFormat="1" applyFont="1" applyBorder="1" applyAlignment="1">
      <alignment horizontal="center"/>
    </xf>
    <xf numFmtId="165" fontId="100" fillId="73" borderId="113" xfId="60" applyFont="1" applyFill="1" applyBorder="1" applyAlignment="1">
      <alignment wrapText="1"/>
    </xf>
    <xf numFmtId="0" fontId="100" fillId="75" borderId="117" xfId="68" applyNumberFormat="1" applyFont="1" applyFill="1" applyBorder="1" applyAlignment="1">
      <alignment horizontal="center"/>
    </xf>
    <xf numFmtId="0" fontId="101" fillId="75" borderId="117" xfId="68" applyNumberFormat="1" applyFont="1" applyFill="1" applyBorder="1" applyAlignment="1">
      <alignment horizontal="center"/>
    </xf>
    <xf numFmtId="49" fontId="97" fillId="67" borderId="112" xfId="60" applyNumberFormat="1"/>
    <xf numFmtId="0" fontId="100" fillId="73" borderId="117" xfId="68" applyNumberFormat="1" applyFont="1" applyFill="1" applyBorder="1" applyAlignment="1">
      <alignment horizontal="center" vertical="center"/>
    </xf>
    <xf numFmtId="165" fontId="100" fillId="67" borderId="117" xfId="68" applyBorder="1" applyAlignment="1">
      <alignment horizontal="center" vertical="center"/>
    </xf>
    <xf numFmtId="165" fontId="100" fillId="67" borderId="113" xfId="68" applyFont="1" applyBorder="1" applyAlignment="1">
      <alignment vertical="center" wrapText="1"/>
    </xf>
    <xf numFmtId="165" fontId="100" fillId="67" borderId="113" xfId="68" applyBorder="1" applyAlignment="1">
      <alignment horizontal="center" vertical="center"/>
    </xf>
    <xf numFmtId="165" fontId="100" fillId="67" borderId="114" xfId="68" applyFont="1" applyBorder="1" applyAlignment="1">
      <alignment horizontal="center" vertical="center" wrapText="1"/>
    </xf>
    <xf numFmtId="165" fontId="97" fillId="67" borderId="113" xfId="62" applyNumberFormat="1" applyFont="1" applyBorder="1" applyAlignment="1">
      <alignment vertical="center"/>
    </xf>
    <xf numFmtId="9" fontId="97" fillId="69" borderId="113" xfId="63" applyFont="1" applyFill="1" applyBorder="1" applyAlignment="1">
      <alignment horizontal="center" vertical="center"/>
    </xf>
    <xf numFmtId="165" fontId="97" fillId="73" borderId="113" xfId="62" applyNumberFormat="1" applyFont="1" applyFill="1" applyBorder="1" applyAlignment="1">
      <alignment vertical="center"/>
    </xf>
    <xf numFmtId="165" fontId="100" fillId="67" borderId="112" xfId="68" applyAlignment="1">
      <alignment vertical="center"/>
    </xf>
    <xf numFmtId="0" fontId="100" fillId="75" borderId="117" xfId="68" applyNumberFormat="1" applyFont="1" applyFill="1" applyBorder="1" applyAlignment="1">
      <alignment horizontal="center" vertical="center"/>
    </xf>
    <xf numFmtId="165" fontId="100" fillId="73" borderId="117" xfId="68" applyFill="1" applyBorder="1" applyAlignment="1">
      <alignment horizontal="center" vertical="center"/>
    </xf>
    <xf numFmtId="0" fontId="100" fillId="73" borderId="113" xfId="68" applyNumberFormat="1" applyFont="1" applyFill="1" applyBorder="1" applyAlignment="1">
      <alignment horizontal="center" vertical="center"/>
    </xf>
    <xf numFmtId="0" fontId="101" fillId="73" borderId="117" xfId="68" applyNumberFormat="1" applyFont="1" applyFill="1" applyBorder="1" applyAlignment="1">
      <alignment horizontal="center" vertical="center"/>
    </xf>
    <xf numFmtId="165" fontId="101" fillId="67" borderId="117" xfId="68" applyFont="1" applyBorder="1" applyAlignment="1">
      <alignment horizontal="center" vertical="center"/>
    </xf>
    <xf numFmtId="49" fontId="100" fillId="67" borderId="113" xfId="68" applyNumberFormat="1" applyBorder="1" applyAlignment="1">
      <alignment vertical="center"/>
    </xf>
    <xf numFmtId="0" fontId="100" fillId="67" borderId="113" xfId="68" applyNumberFormat="1" applyBorder="1" applyAlignment="1">
      <alignment horizontal="center" vertical="center"/>
    </xf>
    <xf numFmtId="164" fontId="97" fillId="67" borderId="112" xfId="62" applyFont="1" applyAlignment="1">
      <alignment vertical="center"/>
    </xf>
    <xf numFmtId="0" fontId="109" fillId="67" borderId="112" xfId="64" applyFont="1"/>
    <xf numFmtId="164" fontId="109" fillId="67" borderId="112" xfId="62" applyFont="1"/>
    <xf numFmtId="0" fontId="109" fillId="67" borderId="112" xfId="64" applyFont="1" applyAlignment="1">
      <alignment horizontal="center" vertical="center"/>
    </xf>
    <xf numFmtId="168" fontId="109" fillId="67" borderId="112" xfId="64" applyNumberFormat="1" applyFont="1"/>
    <xf numFmtId="9" fontId="97" fillId="67" borderId="113" xfId="63" applyFont="1" applyBorder="1"/>
    <xf numFmtId="10" fontId="97" fillId="67" borderId="113" xfId="63" applyNumberFormat="1" applyFont="1" applyBorder="1" applyAlignment="1">
      <alignment horizontal="center" vertical="center"/>
    </xf>
    <xf numFmtId="10" fontId="97" fillId="67" borderId="112" xfId="63" applyNumberFormat="1" applyFont="1"/>
    <xf numFmtId="165" fontId="100" fillId="67" borderId="112" xfId="60" applyFont="1"/>
    <xf numFmtId="164" fontId="97" fillId="67" borderId="113" xfId="62" applyFont="1" applyBorder="1" applyAlignment="1">
      <alignment vertical="center" wrapText="1"/>
    </xf>
    <xf numFmtId="0" fontId="110" fillId="67" borderId="113" xfId="64" applyFont="1" applyBorder="1" applyAlignment="1">
      <alignment horizontal="center" vertical="center"/>
    </xf>
    <xf numFmtId="0" fontId="109" fillId="67" borderId="112" xfId="62" applyNumberFormat="1" applyFont="1" applyAlignment="1">
      <alignment horizontal="center" vertical="center"/>
    </xf>
    <xf numFmtId="0" fontId="110" fillId="67" borderId="113" xfId="64" applyNumberFormat="1" applyFont="1" applyBorder="1" applyAlignment="1">
      <alignment horizontal="center" vertical="center"/>
    </xf>
    <xf numFmtId="0" fontId="109" fillId="67" borderId="113" xfId="64" applyFont="1" applyBorder="1" applyAlignment="1">
      <alignment horizontal="center" vertical="center"/>
    </xf>
    <xf numFmtId="0" fontId="109" fillId="67" borderId="113" xfId="64" applyFont="1" applyBorder="1" applyAlignment="1">
      <alignment horizontal="left" vertical="center"/>
    </xf>
    <xf numFmtId="0" fontId="109" fillId="67" borderId="113" xfId="62" applyNumberFormat="1" applyFont="1" applyBorder="1" applyAlignment="1">
      <alignment horizontal="center" vertical="center"/>
    </xf>
    <xf numFmtId="0" fontId="110" fillId="67" borderId="113" xfId="64" applyFont="1" applyBorder="1" applyAlignment="1">
      <alignment horizontal="center" vertical="center" wrapText="1"/>
    </xf>
    <xf numFmtId="164" fontId="109" fillId="67" borderId="113" xfId="62" applyFont="1" applyBorder="1"/>
    <xf numFmtId="165" fontId="110" fillId="67" borderId="113" xfId="60" applyFont="1" applyBorder="1" applyAlignment="1">
      <alignment horizontal="center" vertical="center"/>
    </xf>
    <xf numFmtId="0" fontId="110" fillId="67" borderId="113" xfId="60" applyNumberFormat="1" applyFont="1" applyBorder="1" applyAlignment="1">
      <alignment horizontal="center" vertical="center"/>
    </xf>
    <xf numFmtId="165" fontId="109" fillId="67" borderId="113" xfId="60" applyFont="1" applyBorder="1" applyAlignment="1">
      <alignment horizontal="left" vertical="center"/>
    </xf>
    <xf numFmtId="165" fontId="109" fillId="67" borderId="113" xfId="60" applyFont="1" applyBorder="1" applyAlignment="1">
      <alignment horizontal="center" vertical="center"/>
    </xf>
    <xf numFmtId="0" fontId="109" fillId="67" borderId="113" xfId="60" applyNumberFormat="1" applyFont="1" applyBorder="1" applyAlignment="1">
      <alignment horizontal="center" vertical="center"/>
    </xf>
    <xf numFmtId="0" fontId="100" fillId="73" borderId="113" xfId="68" applyNumberFormat="1" applyFont="1" applyFill="1" applyBorder="1" applyAlignment="1">
      <alignment wrapText="1"/>
    </xf>
    <xf numFmtId="165" fontId="97" fillId="70" borderId="113" xfId="60" applyFill="1" applyBorder="1"/>
    <xf numFmtId="10" fontId="97" fillId="67" borderId="125" xfId="63" applyNumberFormat="1" applyFont="1" applyBorder="1" applyAlignment="1">
      <alignment horizontal="center" vertical="center"/>
    </xf>
    <xf numFmtId="10" fontId="97" fillId="67" borderId="126" xfId="63" applyNumberFormat="1" applyFont="1" applyBorder="1" applyAlignment="1">
      <alignment horizontal="center" vertical="center"/>
    </xf>
    <xf numFmtId="10" fontId="97" fillId="67" borderId="117" xfId="63" applyNumberFormat="1" applyFont="1" applyBorder="1" applyAlignment="1">
      <alignment horizontal="center" vertical="center"/>
    </xf>
    <xf numFmtId="164" fontId="97" fillId="67" borderId="125" xfId="62" applyFont="1" applyBorder="1" applyAlignment="1">
      <alignment horizontal="center" vertical="center" wrapText="1"/>
    </xf>
    <xf numFmtId="164" fontId="97" fillId="67" borderId="126" xfId="62" applyFont="1" applyBorder="1" applyAlignment="1">
      <alignment horizontal="center" vertical="center" wrapText="1"/>
    </xf>
    <xf numFmtId="164" fontId="97" fillId="67" borderId="117" xfId="62" applyFont="1" applyBorder="1" applyAlignment="1">
      <alignment horizontal="center" vertical="center" wrapText="1"/>
    </xf>
    <xf numFmtId="165" fontId="110" fillId="67" borderId="113" xfId="60" applyFont="1" applyBorder="1" applyAlignment="1">
      <alignment horizontal="center" vertical="center"/>
    </xf>
    <xf numFmtId="165" fontId="110" fillId="67" borderId="114" xfId="60" applyFont="1" applyBorder="1" applyAlignment="1">
      <alignment horizontal="center" vertical="center"/>
    </xf>
    <xf numFmtId="165" fontId="110" fillId="67" borderId="127" xfId="60" applyFont="1" applyBorder="1" applyAlignment="1">
      <alignment horizontal="center" vertical="center"/>
    </xf>
    <xf numFmtId="165" fontId="110" fillId="67" borderId="119" xfId="60" applyFont="1" applyBorder="1" applyAlignment="1">
      <alignment horizontal="center" vertical="center"/>
    </xf>
    <xf numFmtId="10" fontId="105" fillId="67" borderId="120" xfId="63" applyNumberFormat="1" applyFont="1" applyFill="1" applyBorder="1" applyAlignment="1">
      <alignment horizontal="center" vertical="center" wrapText="1"/>
    </xf>
    <xf numFmtId="10" fontId="97" fillId="67" borderId="121" xfId="63" applyNumberFormat="1" applyFont="1" applyBorder="1" applyAlignment="1">
      <alignment horizontal="center" vertical="center"/>
    </xf>
    <xf numFmtId="10" fontId="97" fillId="67" borderId="122" xfId="63" applyNumberFormat="1" applyFont="1" applyBorder="1" applyAlignment="1">
      <alignment horizontal="center" vertical="center"/>
    </xf>
    <xf numFmtId="10" fontId="97" fillId="67" borderId="123" xfId="63" applyNumberFormat="1" applyFont="1" applyBorder="1" applyAlignment="1">
      <alignment horizontal="center" vertical="center"/>
    </xf>
    <xf numFmtId="10" fontId="97" fillId="67" borderId="118" xfId="63" applyNumberFormat="1" applyFont="1" applyBorder="1" applyAlignment="1">
      <alignment horizontal="center" vertical="center"/>
    </xf>
    <xf numFmtId="10" fontId="97" fillId="67" borderId="124" xfId="63" applyNumberFormat="1" applyFont="1" applyBorder="1" applyAlignment="1">
      <alignment horizontal="center" vertical="center"/>
    </xf>
    <xf numFmtId="10" fontId="105" fillId="67" borderId="114" xfId="63" applyNumberFormat="1" applyFont="1" applyFill="1" applyBorder="1" applyAlignment="1">
      <alignment horizontal="center" vertical="center"/>
    </xf>
    <xf numFmtId="10" fontId="97" fillId="67" borderId="119" xfId="63" applyNumberFormat="1" applyFont="1" applyBorder="1" applyAlignment="1">
      <alignment horizontal="center" vertical="center"/>
    </xf>
    <xf numFmtId="0" fontId="111" fillId="67" borderId="113" xfId="60" applyNumberFormat="1" applyFont="1" applyFill="1" applyBorder="1" applyAlignment="1">
      <alignment horizontal="center"/>
    </xf>
    <xf numFmtId="165" fontId="111" fillId="67" borderId="113" xfId="60" applyNumberFormat="1" applyFont="1" applyFill="1" applyBorder="1"/>
    <xf numFmtId="0" fontId="112" fillId="67" borderId="113" xfId="60" applyNumberFormat="1" applyFont="1" applyFill="1" applyBorder="1" applyAlignment="1">
      <alignment horizontal="center"/>
    </xf>
    <xf numFmtId="165" fontId="113" fillId="67" borderId="113" xfId="60" applyNumberFormat="1" applyFont="1" applyFill="1" applyBorder="1"/>
    <xf numFmtId="165" fontId="112" fillId="67" borderId="113" xfId="60" applyNumberFormat="1" applyFont="1" applyFill="1" applyBorder="1"/>
    <xf numFmtId="165" fontId="112" fillId="67" borderId="113" xfId="60" applyNumberFormat="1" applyFont="1" applyFill="1" applyBorder="1" applyAlignment="1">
      <alignment wrapText="1"/>
    </xf>
    <xf numFmtId="0" fontId="111" fillId="67" borderId="113" xfId="60" applyNumberFormat="1" applyFont="1" applyFill="1" applyBorder="1" applyAlignment="1">
      <alignment horizontal="center" wrapText="1"/>
    </xf>
    <xf numFmtId="165" fontId="111" fillId="67" borderId="113" xfId="60" applyNumberFormat="1" applyFont="1" applyFill="1" applyBorder="1" applyAlignment="1">
      <alignment wrapText="1"/>
    </xf>
    <xf numFmtId="0" fontId="112" fillId="67" borderId="113" xfId="60" applyNumberFormat="1" applyFont="1" applyFill="1" applyBorder="1" applyAlignment="1">
      <alignment horizontal="center" wrapText="1"/>
    </xf>
    <xf numFmtId="165" fontId="113" fillId="67" borderId="113" xfId="60" applyNumberFormat="1" applyFont="1" applyFill="1" applyBorder="1" applyAlignment="1">
      <alignment wrapText="1"/>
    </xf>
    <xf numFmtId="0" fontId="111" fillId="67" borderId="113" xfId="60" applyNumberFormat="1" applyFont="1" applyFill="1" applyBorder="1" applyAlignment="1">
      <alignment horizontal="center" vertical="center" wrapText="1"/>
    </xf>
    <xf numFmtId="165" fontId="111" fillId="67" borderId="113" xfId="60" applyNumberFormat="1" applyFont="1" applyFill="1" applyBorder="1" applyAlignment="1">
      <alignment vertical="center" wrapText="1"/>
    </xf>
    <xf numFmtId="0" fontId="112" fillId="67" borderId="113" xfId="60" applyNumberFormat="1" applyFont="1" applyFill="1" applyBorder="1" applyAlignment="1">
      <alignment horizontal="center" vertical="center" wrapText="1"/>
    </xf>
    <xf numFmtId="165" fontId="113" fillId="67" borderId="113" xfId="60" applyNumberFormat="1" applyFont="1" applyFill="1" applyBorder="1" applyAlignment="1">
      <alignment vertical="center" wrapText="1"/>
    </xf>
    <xf numFmtId="165" fontId="112" fillId="67" borderId="113" xfId="60" applyNumberFormat="1" applyFont="1" applyFill="1" applyBorder="1" applyAlignment="1">
      <alignment vertical="center" wrapText="1"/>
    </xf>
    <xf numFmtId="0" fontId="112" fillId="79" borderId="113" xfId="60" applyNumberFormat="1" applyFont="1" applyFill="1" applyBorder="1" applyAlignment="1">
      <alignment horizontal="center" vertical="center" wrapText="1"/>
    </xf>
    <xf numFmtId="165" fontId="113" fillId="79" borderId="113" xfId="60" applyNumberFormat="1" applyFont="1" applyFill="1" applyBorder="1" applyAlignment="1">
      <alignment vertical="center" wrapText="1"/>
    </xf>
    <xf numFmtId="0" fontId="112" fillId="79" borderId="128" xfId="60" applyNumberFormat="1" applyFont="1" applyFill="1" applyBorder="1" applyAlignment="1">
      <alignment horizontal="center" vertical="center" wrapText="1"/>
    </xf>
    <xf numFmtId="165" fontId="113" fillId="79" borderId="128" xfId="60" applyNumberFormat="1" applyFont="1" applyFill="1" applyBorder="1" applyAlignment="1">
      <alignment vertical="center" wrapText="1"/>
    </xf>
    <xf numFmtId="0" fontId="112" fillId="80" borderId="113" xfId="60" applyNumberFormat="1" applyFont="1" applyFill="1" applyBorder="1" applyAlignment="1">
      <alignment horizontal="center" vertical="center" wrapText="1"/>
    </xf>
    <xf numFmtId="165" fontId="113" fillId="80" borderId="113" xfId="60" applyNumberFormat="1" applyFont="1" applyFill="1" applyBorder="1" applyAlignment="1">
      <alignment vertical="center" wrapText="1"/>
    </xf>
    <xf numFmtId="0" fontId="112" fillId="80" borderId="128" xfId="60" applyNumberFormat="1" applyFont="1" applyFill="1" applyBorder="1" applyAlignment="1">
      <alignment horizontal="center" vertical="center" wrapText="1"/>
    </xf>
    <xf numFmtId="165" fontId="113" fillId="80" borderId="128" xfId="60" applyNumberFormat="1" applyFont="1" applyFill="1" applyBorder="1" applyAlignment="1">
      <alignment vertical="center" wrapText="1"/>
    </xf>
    <xf numFmtId="165" fontId="112" fillId="79" borderId="113" xfId="60" applyNumberFormat="1" applyFont="1" applyFill="1" applyBorder="1" applyAlignment="1">
      <alignment vertical="center" wrapText="1"/>
    </xf>
    <xf numFmtId="165" fontId="112" fillId="79" borderId="128" xfId="60" applyNumberFormat="1" applyFont="1" applyFill="1" applyBorder="1" applyAlignment="1">
      <alignment vertical="center" wrapText="1"/>
    </xf>
    <xf numFmtId="165" fontId="112" fillId="80" borderId="113" xfId="60" applyNumberFormat="1" applyFont="1" applyFill="1" applyBorder="1" applyAlignment="1">
      <alignment vertical="center" wrapText="1"/>
    </xf>
    <xf numFmtId="165" fontId="112" fillId="80" borderId="128" xfId="60" applyNumberFormat="1" applyFont="1" applyFill="1" applyBorder="1" applyAlignment="1">
      <alignment vertical="center" wrapText="1"/>
    </xf>
    <xf numFmtId="0" fontId="111" fillId="81" borderId="113" xfId="60" applyNumberFormat="1" applyFont="1" applyFill="1" applyBorder="1" applyAlignment="1">
      <alignment horizontal="center" vertical="center" wrapText="1"/>
    </xf>
    <xf numFmtId="165" fontId="111" fillId="81" borderId="113" xfId="60" applyNumberFormat="1" applyFont="1" applyFill="1" applyBorder="1" applyAlignment="1">
      <alignment vertical="center" wrapText="1"/>
    </xf>
    <xf numFmtId="0" fontId="114" fillId="81" borderId="113" xfId="60" applyNumberFormat="1" applyFont="1" applyFill="1" applyBorder="1" applyAlignment="1">
      <alignment horizontal="center" vertical="center" wrapText="1"/>
    </xf>
    <xf numFmtId="165" fontId="114" fillId="81" borderId="113" xfId="60" applyNumberFormat="1" applyFont="1" applyFill="1" applyBorder="1" applyAlignment="1">
      <alignment vertical="center" wrapText="1"/>
    </xf>
    <xf numFmtId="0" fontId="114" fillId="81" borderId="129" xfId="60" applyNumberFormat="1" applyFont="1" applyFill="1" applyBorder="1" applyAlignment="1">
      <alignment horizontal="center" vertical="center" wrapText="1"/>
    </xf>
    <xf numFmtId="165" fontId="114" fillId="81" borderId="129" xfId="60" applyNumberFormat="1" applyFont="1" applyFill="1" applyBorder="1" applyAlignment="1">
      <alignment vertical="center" wrapText="1"/>
    </xf>
    <xf numFmtId="165" fontId="114" fillId="81" borderId="129" xfId="60" applyNumberFormat="1" applyFont="1" applyFill="1" applyBorder="1" applyAlignment="1">
      <alignment horizontal="center" vertical="center" wrapText="1"/>
    </xf>
    <xf numFmtId="0" fontId="115" fillId="79" borderId="128" xfId="60" applyNumberFormat="1" applyFont="1" applyFill="1" applyBorder="1" applyAlignment="1">
      <alignment horizontal="center" vertical="center" wrapText="1"/>
    </xf>
    <xf numFmtId="0" fontId="115" fillId="79" borderId="128" xfId="60" applyNumberFormat="1" applyFont="1" applyFill="1" applyBorder="1" applyAlignment="1">
      <alignment horizontal="right" vertical="center" wrapText="1"/>
    </xf>
    <xf numFmtId="0" fontId="115" fillId="80" borderId="128" xfId="60" applyNumberFormat="1" applyFont="1" applyFill="1" applyBorder="1" applyAlignment="1">
      <alignment horizontal="center" vertical="center" wrapText="1"/>
    </xf>
    <xf numFmtId="0" fontId="115" fillId="80" borderId="128" xfId="60" applyNumberFormat="1" applyFont="1" applyFill="1" applyBorder="1" applyAlignment="1">
      <alignment horizontal="right" vertical="center" wrapText="1"/>
    </xf>
    <xf numFmtId="165" fontId="111" fillId="71" borderId="113" xfId="60" applyNumberFormat="1" applyFont="1" applyFill="1" applyBorder="1" applyAlignment="1">
      <alignment wrapText="1"/>
    </xf>
    <xf numFmtId="165" fontId="111" fillId="71" borderId="113" xfId="60" applyNumberFormat="1" applyFont="1" applyFill="1" applyBorder="1" applyAlignment="1">
      <alignment horizontal="center" wrapText="1"/>
    </xf>
    <xf numFmtId="165" fontId="111" fillId="71" borderId="113" xfId="60" applyNumberFormat="1" applyFont="1" applyFill="1" applyBorder="1" applyAlignment="1">
      <alignment horizontal="center"/>
    </xf>
    <xf numFmtId="165" fontId="112" fillId="67" borderId="112" xfId="60" applyNumberFormat="1" applyFont="1" applyFill="1" applyBorder="1"/>
    <xf numFmtId="165" fontId="113" fillId="67" borderId="113" xfId="60" applyNumberFormat="1" applyFont="1" applyFill="1" applyBorder="1" applyAlignment="1">
      <alignment horizontal="center" vertical="center" wrapText="1"/>
    </xf>
    <xf numFmtId="165" fontId="112" fillId="72" borderId="113" xfId="60" applyNumberFormat="1" applyFont="1" applyFill="1" applyBorder="1" applyAlignment="1">
      <alignment horizontal="center"/>
    </xf>
    <xf numFmtId="164" fontId="112" fillId="67" borderId="112" xfId="60" applyNumberFormat="1" applyFont="1" applyFill="1" applyBorder="1"/>
    <xf numFmtId="164" fontId="112" fillId="72" borderId="113" xfId="60" applyNumberFormat="1" applyFont="1" applyFill="1" applyBorder="1" applyAlignment="1">
      <alignment horizontal="center"/>
    </xf>
    <xf numFmtId="9" fontId="112" fillId="72" borderId="113" xfId="60" applyNumberFormat="1" applyFont="1" applyFill="1" applyBorder="1" applyAlignment="1">
      <alignment horizontal="center"/>
    </xf>
    <xf numFmtId="0" fontId="112" fillId="72" borderId="113" xfId="60" applyNumberFormat="1" applyFont="1" applyFill="1" applyBorder="1" applyAlignment="1">
      <alignment horizontal="center"/>
    </xf>
    <xf numFmtId="165" fontId="112" fillId="67" borderId="112" xfId="60" applyNumberFormat="1" applyFont="1" applyFill="1" applyBorder="1" applyAlignment="1">
      <alignment wrapText="1"/>
    </xf>
    <xf numFmtId="165" fontId="112" fillId="72" borderId="113" xfId="60" applyNumberFormat="1" applyFont="1" applyFill="1" applyBorder="1" applyAlignment="1">
      <alignment horizontal="center" wrapText="1"/>
    </xf>
    <xf numFmtId="164" fontId="112" fillId="67" borderId="112" xfId="60" applyNumberFormat="1" applyFont="1" applyFill="1" applyBorder="1" applyAlignment="1">
      <alignment wrapText="1"/>
    </xf>
    <xf numFmtId="164" fontId="112" fillId="72" borderId="113" xfId="60" applyNumberFormat="1" applyFont="1" applyFill="1" applyBorder="1" applyAlignment="1">
      <alignment horizontal="center" wrapText="1"/>
    </xf>
    <xf numFmtId="9" fontId="112" fillId="72" borderId="113" xfId="60" applyNumberFormat="1" applyFont="1" applyFill="1" applyBorder="1" applyAlignment="1">
      <alignment horizontal="center" wrapText="1"/>
    </xf>
    <xf numFmtId="0" fontId="112" fillId="72" borderId="113" xfId="60" applyNumberFormat="1" applyFont="1" applyFill="1" applyBorder="1" applyAlignment="1">
      <alignment horizontal="center" wrapText="1"/>
    </xf>
    <xf numFmtId="165" fontId="111" fillId="71" borderId="113" xfId="60" applyNumberFormat="1" applyFont="1" applyFill="1" applyBorder="1" applyAlignment="1">
      <alignment vertical="center" wrapText="1"/>
    </xf>
    <xf numFmtId="165" fontId="111" fillId="71" borderId="113" xfId="60" applyNumberFormat="1" applyFont="1" applyFill="1" applyBorder="1" applyAlignment="1">
      <alignment horizontal="center" vertical="center" wrapText="1"/>
    </xf>
    <xf numFmtId="165" fontId="112" fillId="67" borderId="112" xfId="60" applyNumberFormat="1" applyFont="1" applyFill="1" applyBorder="1" applyAlignment="1">
      <alignment vertical="center" wrapText="1"/>
    </xf>
    <xf numFmtId="165" fontId="112" fillId="72" borderId="113" xfId="60" applyNumberFormat="1" applyFont="1" applyFill="1" applyBorder="1" applyAlignment="1">
      <alignment horizontal="center" vertical="center" wrapText="1"/>
    </xf>
    <xf numFmtId="164" fontId="112" fillId="67" borderId="112" xfId="60" applyNumberFormat="1" applyFont="1" applyFill="1" applyBorder="1" applyAlignment="1">
      <alignment vertical="center" wrapText="1"/>
    </xf>
    <xf numFmtId="164" fontId="112" fillId="72" borderId="113" xfId="60" applyNumberFormat="1" applyFont="1" applyFill="1" applyBorder="1" applyAlignment="1">
      <alignment horizontal="center" vertical="center" wrapText="1"/>
    </xf>
    <xf numFmtId="9" fontId="112" fillId="72" borderId="113" xfId="60" applyNumberFormat="1" applyFont="1" applyFill="1" applyBorder="1" applyAlignment="1">
      <alignment horizontal="center" vertical="center" wrapText="1"/>
    </xf>
    <xf numFmtId="0" fontId="112" fillId="72" borderId="113" xfId="60" applyNumberFormat="1" applyFont="1" applyFill="1" applyBorder="1" applyAlignment="1">
      <alignment horizontal="center" vertical="center" wrapText="1"/>
    </xf>
    <xf numFmtId="165" fontId="113" fillId="79" borderId="113" xfId="60" applyNumberFormat="1" applyFont="1" applyFill="1" applyBorder="1" applyAlignment="1">
      <alignment horizontal="center" vertical="center" wrapText="1"/>
    </xf>
    <xf numFmtId="165" fontId="112" fillId="79" borderId="113" xfId="60" applyNumberFormat="1" applyFont="1" applyFill="1" applyBorder="1" applyAlignment="1">
      <alignment horizontal="center" vertical="center" wrapText="1"/>
    </xf>
    <xf numFmtId="164" fontId="112" fillId="79" borderId="112" xfId="60" applyNumberFormat="1" applyFont="1" applyFill="1" applyBorder="1" applyAlignment="1">
      <alignment vertical="center" wrapText="1"/>
    </xf>
    <xf numFmtId="165" fontId="112" fillId="79" borderId="112" xfId="60" applyNumberFormat="1" applyFont="1" applyFill="1" applyBorder="1" applyAlignment="1">
      <alignment vertical="center" wrapText="1"/>
    </xf>
    <xf numFmtId="165" fontId="113" fillId="79" borderId="128" xfId="60" applyNumberFormat="1" applyFont="1" applyFill="1" applyBorder="1" applyAlignment="1">
      <alignment horizontal="center" vertical="center" wrapText="1"/>
    </xf>
    <xf numFmtId="165" fontId="112" fillId="79" borderId="128" xfId="60" applyNumberFormat="1" applyFont="1" applyFill="1" applyBorder="1" applyAlignment="1">
      <alignment horizontal="center" vertical="center" wrapText="1"/>
    </xf>
    <xf numFmtId="164" fontId="112" fillId="79" borderId="130" xfId="60" applyNumberFormat="1" applyFont="1" applyFill="1" applyBorder="1" applyAlignment="1">
      <alignment vertical="center" wrapText="1"/>
    </xf>
    <xf numFmtId="165" fontId="112" fillId="79" borderId="130" xfId="60" applyNumberFormat="1" applyFont="1" applyFill="1" applyBorder="1" applyAlignment="1">
      <alignment vertical="center" wrapText="1"/>
    </xf>
    <xf numFmtId="165" fontId="113" fillId="80" borderId="113" xfId="60" applyNumberFormat="1" applyFont="1" applyFill="1" applyBorder="1" applyAlignment="1">
      <alignment horizontal="center" vertical="center" wrapText="1"/>
    </xf>
    <xf numFmtId="165" fontId="112" fillId="80" borderId="113" xfId="60" applyNumberFormat="1" applyFont="1" applyFill="1" applyBorder="1" applyAlignment="1">
      <alignment horizontal="center" vertical="center" wrapText="1"/>
    </xf>
    <xf numFmtId="165" fontId="112" fillId="80" borderId="112" xfId="60" applyNumberFormat="1" applyFont="1" applyFill="1" applyBorder="1" applyAlignment="1">
      <alignment vertical="center" wrapText="1"/>
    </xf>
    <xf numFmtId="165" fontId="113" fillId="80" borderId="128" xfId="60" applyNumberFormat="1" applyFont="1" applyFill="1" applyBorder="1" applyAlignment="1">
      <alignment horizontal="center" vertical="center" wrapText="1"/>
    </xf>
    <xf numFmtId="165" fontId="112" fillId="80" borderId="128" xfId="60" applyNumberFormat="1" applyFont="1" applyFill="1" applyBorder="1" applyAlignment="1">
      <alignment horizontal="center" vertical="center" wrapText="1"/>
    </xf>
    <xf numFmtId="165" fontId="112" fillId="80" borderId="130" xfId="60" applyNumberFormat="1" applyFont="1" applyFill="1" applyBorder="1" applyAlignment="1">
      <alignment vertical="center" wrapText="1"/>
    </xf>
    <xf numFmtId="164" fontId="112" fillId="79" borderId="113" xfId="60" applyNumberFormat="1" applyFont="1" applyFill="1" applyBorder="1" applyAlignment="1">
      <alignment horizontal="center" vertical="center" wrapText="1"/>
    </xf>
    <xf numFmtId="164" fontId="112" fillId="79" borderId="128" xfId="60" applyNumberFormat="1" applyFont="1" applyFill="1" applyBorder="1" applyAlignment="1">
      <alignment horizontal="center" vertical="center" wrapText="1"/>
    </xf>
    <xf numFmtId="9" fontId="112" fillId="80" borderId="113" xfId="60" applyNumberFormat="1" applyFont="1" applyFill="1" applyBorder="1" applyAlignment="1">
      <alignment horizontal="center" vertical="center" wrapText="1"/>
    </xf>
    <xf numFmtId="9" fontId="112" fillId="80" borderId="128" xfId="60" applyNumberFormat="1" applyFont="1" applyFill="1" applyBorder="1" applyAlignment="1">
      <alignment horizontal="center" vertical="center" wrapText="1"/>
    </xf>
    <xf numFmtId="9" fontId="112" fillId="79" borderId="113" xfId="60" applyNumberFormat="1" applyFont="1" applyFill="1" applyBorder="1" applyAlignment="1">
      <alignment horizontal="center" vertical="center" wrapText="1"/>
    </xf>
    <xf numFmtId="9" fontId="112" fillId="79" borderId="128" xfId="60" applyNumberFormat="1" applyFont="1" applyFill="1" applyBorder="1" applyAlignment="1">
      <alignment horizontal="center" vertical="center" wrapText="1"/>
    </xf>
    <xf numFmtId="165" fontId="111" fillId="81" borderId="113" xfId="60" applyNumberFormat="1" applyFont="1" applyFill="1" applyBorder="1" applyAlignment="1">
      <alignment horizontal="center" vertical="center" wrapText="1"/>
    </xf>
    <xf numFmtId="165" fontId="112" fillId="81" borderId="112" xfId="60" applyNumberFormat="1" applyFont="1" applyFill="1" applyBorder="1" applyAlignment="1">
      <alignment vertical="center" wrapText="1"/>
    </xf>
    <xf numFmtId="165" fontId="114" fillId="81" borderId="113" xfId="60" applyNumberFormat="1" applyFont="1" applyFill="1" applyBorder="1" applyAlignment="1">
      <alignment horizontal="center" vertical="center" wrapText="1"/>
    </xf>
    <xf numFmtId="165" fontId="116" fillId="81" borderId="112" xfId="60" applyNumberFormat="1" applyFont="1" applyFill="1" applyBorder="1" applyAlignment="1">
      <alignment vertical="center" wrapText="1"/>
    </xf>
    <xf numFmtId="165" fontId="116" fillId="81" borderId="131" xfId="60" applyNumberFormat="1" applyFont="1" applyFill="1" applyBorder="1" applyAlignment="1">
      <alignment vertical="center" wrapText="1"/>
    </xf>
    <xf numFmtId="165" fontId="116" fillId="81" borderId="131" xfId="60" applyNumberFormat="1" applyFont="1" applyFill="1" applyBorder="1" applyAlignment="1">
      <alignment horizontal="center" vertical="center" wrapText="1"/>
    </xf>
    <xf numFmtId="165" fontId="115" fillId="79" borderId="128" xfId="60" applyNumberFormat="1" applyFont="1" applyFill="1" applyBorder="1" applyAlignment="1">
      <alignment horizontal="center" vertical="center" wrapText="1"/>
    </xf>
    <xf numFmtId="165" fontId="115" fillId="79" borderId="128" xfId="60" applyNumberFormat="1" applyFont="1" applyFill="1" applyBorder="1" applyAlignment="1">
      <alignment horizontal="right" vertical="center" wrapText="1"/>
    </xf>
    <xf numFmtId="165" fontId="112" fillId="80" borderId="128" xfId="60" applyNumberFormat="1" applyFont="1" applyFill="1" applyBorder="1" applyAlignment="1">
      <alignment horizontal="right" vertical="center" wrapText="1"/>
    </xf>
    <xf numFmtId="164" fontId="112" fillId="79" borderId="128" xfId="60" applyNumberFormat="1" applyFont="1" applyFill="1" applyBorder="1" applyAlignment="1">
      <alignment horizontal="right" vertical="center" wrapText="1"/>
    </xf>
    <xf numFmtId="165" fontId="112" fillId="79" borderId="130" xfId="60" applyNumberFormat="1" applyFont="1" applyFill="1" applyBorder="1" applyAlignment="1">
      <alignment horizontal="right" vertical="center" wrapText="1"/>
    </xf>
    <xf numFmtId="9" fontId="115" fillId="80" borderId="128" xfId="60" applyNumberFormat="1" applyFont="1" applyFill="1" applyBorder="1" applyAlignment="1">
      <alignment horizontal="center" vertical="center" wrapText="1"/>
    </xf>
    <xf numFmtId="9" fontId="115" fillId="80" borderId="128" xfId="60" applyNumberFormat="1" applyFont="1" applyFill="1" applyBorder="1" applyAlignment="1">
      <alignment horizontal="right" vertical="center" wrapText="1"/>
    </xf>
    <xf numFmtId="9" fontId="115" fillId="79" borderId="128" xfId="60" applyNumberFormat="1" applyFont="1" applyFill="1" applyBorder="1" applyAlignment="1">
      <alignment horizontal="center" vertical="center" wrapText="1"/>
    </xf>
    <xf numFmtId="9" fontId="115" fillId="79" borderId="128" xfId="60" applyNumberFormat="1" applyFont="1" applyFill="1" applyBorder="1" applyAlignment="1">
      <alignment horizontal="right" vertical="center" wrapText="1"/>
    </xf>
    <xf numFmtId="165" fontId="112" fillId="79" borderId="128" xfId="60" applyNumberFormat="1" applyFont="1" applyFill="1" applyBorder="1" applyAlignment="1">
      <alignment horizontal="right" vertical="center" wrapText="1"/>
    </xf>
    <xf numFmtId="0" fontId="111" fillId="72" borderId="113" xfId="60" applyNumberFormat="1" applyFont="1" applyFill="1" applyBorder="1" applyAlignment="1">
      <alignment horizontal="center"/>
    </xf>
    <xf numFmtId="165" fontId="111" fillId="72" borderId="113" xfId="60" applyNumberFormat="1" applyFont="1" applyFill="1" applyBorder="1" applyAlignment="1">
      <alignment horizontal="center"/>
    </xf>
    <xf numFmtId="168" fontId="111" fillId="72" borderId="113" xfId="60" applyNumberFormat="1" applyFont="1" applyFill="1" applyBorder="1" applyAlignment="1">
      <alignment horizontal="center"/>
    </xf>
    <xf numFmtId="165" fontId="111" fillId="72" borderId="113" xfId="60" applyNumberFormat="1" applyFont="1" applyFill="1" applyBorder="1" applyAlignment="1">
      <alignment horizontal="center" wrapText="1"/>
    </xf>
    <xf numFmtId="0" fontId="111" fillId="76" borderId="113" xfId="60" applyNumberFormat="1" applyFont="1" applyFill="1" applyBorder="1" applyAlignment="1">
      <alignment horizontal="center"/>
    </xf>
    <xf numFmtId="165" fontId="111" fillId="76" borderId="113" xfId="60" applyNumberFormat="1" applyFont="1" applyFill="1" applyBorder="1" applyAlignment="1">
      <alignment horizontal="left"/>
    </xf>
    <xf numFmtId="165" fontId="112" fillId="76" borderId="113" xfId="60" applyNumberFormat="1" applyFont="1" applyFill="1" applyBorder="1" applyAlignment="1">
      <alignment horizontal="center"/>
    </xf>
    <xf numFmtId="164" fontId="112" fillId="76" borderId="113" xfId="60" applyNumberFormat="1" applyFont="1" applyFill="1" applyBorder="1"/>
    <xf numFmtId="168" fontId="111" fillId="76" borderId="113" xfId="60" applyNumberFormat="1" applyFont="1" applyFill="1" applyBorder="1"/>
    <xf numFmtId="164" fontId="111" fillId="77" borderId="113" xfId="60" applyNumberFormat="1" applyFont="1" applyFill="1" applyBorder="1" applyAlignment="1">
      <alignment horizontal="right"/>
    </xf>
    <xf numFmtId="165" fontId="117" fillId="67" borderId="113" xfId="60" applyNumberFormat="1" applyFont="1" applyFill="1" applyBorder="1" applyAlignment="1">
      <alignment horizontal="right"/>
    </xf>
    <xf numFmtId="9" fontId="112" fillId="67" borderId="113" xfId="60" applyNumberFormat="1" applyFont="1" applyFill="1" applyBorder="1" applyAlignment="1">
      <alignment horizontal="center"/>
    </xf>
    <xf numFmtId="164" fontId="112" fillId="67" borderId="113" xfId="60" applyNumberFormat="1" applyFont="1" applyFill="1" applyBorder="1"/>
    <xf numFmtId="168" fontId="117" fillId="67" borderId="113" xfId="60" applyNumberFormat="1" applyFont="1" applyFill="1" applyBorder="1" applyAlignment="1">
      <alignment horizontal="right"/>
    </xf>
    <xf numFmtId="164" fontId="117" fillId="67" borderId="113" xfId="60" applyNumberFormat="1" applyFont="1" applyFill="1" applyBorder="1" applyAlignment="1">
      <alignment horizontal="right"/>
    </xf>
    <xf numFmtId="165" fontId="113" fillId="67" borderId="113" xfId="60" applyNumberFormat="1" applyFont="1" applyFill="1" applyBorder="1" applyAlignment="1">
      <alignment horizontal="left"/>
    </xf>
    <xf numFmtId="10" fontId="112" fillId="67" borderId="125" xfId="60" applyNumberFormat="1" applyFont="1" applyFill="1" applyBorder="1" applyAlignment="1">
      <alignment horizontal="center" vertical="center"/>
    </xf>
    <xf numFmtId="10" fontId="112" fillId="67" borderId="113" xfId="60" applyNumberFormat="1" applyFont="1" applyFill="1" applyBorder="1" applyAlignment="1">
      <alignment horizontal="center"/>
    </xf>
    <xf numFmtId="168" fontId="113" fillId="67" borderId="113" xfId="60" applyNumberFormat="1" applyFont="1" applyFill="1" applyBorder="1" applyAlignment="1">
      <alignment horizontal="right"/>
    </xf>
    <xf numFmtId="164" fontId="113" fillId="67" borderId="113" xfId="60" applyNumberFormat="1" applyFont="1" applyFill="1" applyBorder="1" applyAlignment="1">
      <alignment horizontal="right" wrapText="1"/>
    </xf>
    <xf numFmtId="10" fontId="112" fillId="67" borderId="126" xfId="60" applyNumberFormat="1" applyFont="1" applyFill="1" applyBorder="1" applyAlignment="1">
      <alignment horizontal="center" vertical="center"/>
    </xf>
    <xf numFmtId="10" fontId="112" fillId="67" borderId="117" xfId="60" applyNumberFormat="1" applyFont="1" applyFill="1" applyBorder="1" applyAlignment="1">
      <alignment horizontal="center" vertical="center"/>
    </xf>
    <xf numFmtId="10" fontId="112" fillId="67" borderId="113" xfId="60" applyNumberFormat="1" applyFont="1" applyFill="1" applyBorder="1" applyAlignment="1">
      <alignment horizontal="center" vertical="center"/>
    </xf>
    <xf numFmtId="0" fontId="111" fillId="69" borderId="113" xfId="60" applyNumberFormat="1" applyFont="1" applyFill="1" applyBorder="1" applyAlignment="1">
      <alignment horizontal="center"/>
    </xf>
    <xf numFmtId="165" fontId="111" fillId="69" borderId="113" xfId="60" applyNumberFormat="1" applyFont="1" applyFill="1" applyBorder="1"/>
    <xf numFmtId="10" fontId="112" fillId="69" borderId="113" xfId="60" applyNumberFormat="1" applyFont="1" applyFill="1" applyBorder="1" applyAlignment="1">
      <alignment horizontal="center"/>
    </xf>
    <xf numFmtId="10" fontId="111" fillId="69" borderId="113" xfId="60" applyNumberFormat="1" applyFont="1" applyFill="1" applyBorder="1" applyAlignment="1">
      <alignment horizontal="center"/>
    </xf>
    <xf numFmtId="168" fontId="111" fillId="69" borderId="113" xfId="60" applyNumberFormat="1" applyFont="1" applyFill="1" applyBorder="1"/>
    <xf numFmtId="164" fontId="111" fillId="69" borderId="113" xfId="60" applyNumberFormat="1" applyFont="1" applyFill="1" applyBorder="1" applyAlignment="1">
      <alignment wrapText="1"/>
    </xf>
    <xf numFmtId="10" fontId="112" fillId="67" borderId="113" xfId="60" applyNumberFormat="1" applyFont="1" applyFill="1" applyBorder="1"/>
    <xf numFmtId="168" fontId="113" fillId="73" borderId="113" xfId="60" applyNumberFormat="1" applyFont="1" applyFill="1" applyBorder="1" applyAlignment="1">
      <alignment horizontal="right"/>
    </xf>
    <xf numFmtId="164" fontId="112" fillId="67" borderId="125" xfId="60" applyNumberFormat="1" applyFont="1" applyFill="1" applyBorder="1" applyAlignment="1">
      <alignment horizontal="center" vertical="center" wrapText="1"/>
    </xf>
    <xf numFmtId="10" fontId="112" fillId="67" borderId="112" xfId="60" applyNumberFormat="1" applyFont="1" applyFill="1" applyBorder="1"/>
    <xf numFmtId="164" fontId="112" fillId="67" borderId="126" xfId="60" applyNumberFormat="1" applyFont="1" applyFill="1" applyBorder="1" applyAlignment="1">
      <alignment horizontal="center" vertical="center" wrapText="1"/>
    </xf>
    <xf numFmtId="164" fontId="112" fillId="67" borderId="117" xfId="60" applyNumberFormat="1" applyFont="1" applyFill="1" applyBorder="1" applyAlignment="1">
      <alignment horizontal="center" vertical="center" wrapText="1"/>
    </xf>
    <xf numFmtId="164" fontId="112" fillId="67" borderId="113" xfId="60" applyNumberFormat="1" applyFont="1" applyFill="1" applyBorder="1" applyAlignment="1">
      <alignment vertical="center" wrapText="1"/>
    </xf>
    <xf numFmtId="164" fontId="112" fillId="67" borderId="113" xfId="60" applyNumberFormat="1" applyFont="1" applyFill="1" applyBorder="1" applyAlignment="1">
      <alignment wrapText="1"/>
    </xf>
    <xf numFmtId="0" fontId="111" fillId="78" borderId="113" xfId="60" applyNumberFormat="1" applyFont="1" applyFill="1" applyBorder="1" applyAlignment="1">
      <alignment horizontal="center"/>
    </xf>
    <xf numFmtId="165" fontId="111" fillId="78" borderId="113" xfId="60" applyNumberFormat="1" applyFont="1" applyFill="1" applyBorder="1"/>
    <xf numFmtId="9" fontId="111" fillId="78" borderId="113" xfId="60" applyNumberFormat="1" applyFont="1" applyFill="1" applyBorder="1" applyAlignment="1">
      <alignment horizontal="center"/>
    </xf>
    <xf numFmtId="169" fontId="111" fillId="78" borderId="113" xfId="60" applyNumberFormat="1" applyFont="1" applyFill="1" applyBorder="1" applyAlignment="1">
      <alignment horizontal="center"/>
    </xf>
    <xf numFmtId="168" fontId="111" fillId="78" borderId="113" xfId="60" applyNumberFormat="1" applyFont="1" applyFill="1" applyBorder="1"/>
    <xf numFmtId="164" fontId="111" fillId="78" borderId="113" xfId="60" applyNumberFormat="1" applyFont="1" applyFill="1" applyBorder="1" applyAlignment="1">
      <alignment wrapText="1"/>
    </xf>
    <xf numFmtId="165" fontId="112" fillId="67" borderId="113" xfId="60" applyNumberFormat="1" applyFont="1" applyFill="1" applyBorder="1" applyAlignment="1">
      <alignment horizontal="center"/>
    </xf>
    <xf numFmtId="10" fontId="111" fillId="67" borderId="113" xfId="60" applyNumberFormat="1" applyFont="1" applyFill="1" applyBorder="1"/>
    <xf numFmtId="168" fontId="111" fillId="67" borderId="113" xfId="60" applyNumberFormat="1" applyFont="1" applyFill="1" applyBorder="1"/>
    <xf numFmtId="165" fontId="113" fillId="67" borderId="113" xfId="60" applyNumberFormat="1" applyFont="1" applyFill="1" applyBorder="1" applyAlignment="1">
      <alignment horizontal="right"/>
    </xf>
    <xf numFmtId="168" fontId="112" fillId="67" borderId="113" xfId="60" applyNumberFormat="1" applyFont="1" applyFill="1" applyBorder="1"/>
    <xf numFmtId="9" fontId="112" fillId="67" borderId="113" xfId="60" applyNumberFormat="1" applyFont="1" applyFill="1" applyBorder="1"/>
    <xf numFmtId="165" fontId="112" fillId="67" borderId="113" xfId="60" applyNumberFormat="1" applyFont="1" applyFill="1" applyBorder="1" applyAlignment="1">
      <alignment horizontal="right"/>
    </xf>
    <xf numFmtId="0" fontId="111" fillId="72" borderId="113" xfId="60" applyNumberFormat="1" applyFont="1" applyFill="1" applyBorder="1" applyAlignment="1">
      <alignment horizontal="center" wrapText="1"/>
    </xf>
    <xf numFmtId="168" fontId="111" fillId="72" borderId="113" xfId="60" applyNumberFormat="1" applyFont="1" applyFill="1" applyBorder="1" applyAlignment="1">
      <alignment horizontal="center" wrapText="1"/>
    </xf>
    <xf numFmtId="0" fontId="111" fillId="76" borderId="113" xfId="60" applyNumberFormat="1" applyFont="1" applyFill="1" applyBorder="1" applyAlignment="1">
      <alignment horizontal="center" wrapText="1"/>
    </xf>
    <xf numFmtId="165" fontId="111" fillId="76" borderId="113" xfId="60" applyNumberFormat="1" applyFont="1" applyFill="1" applyBorder="1" applyAlignment="1">
      <alignment horizontal="left" wrapText="1"/>
    </xf>
    <xf numFmtId="165" fontId="112" fillId="76" borderId="113" xfId="60" applyNumberFormat="1" applyFont="1" applyFill="1" applyBorder="1" applyAlignment="1">
      <alignment horizontal="center" wrapText="1"/>
    </xf>
    <xf numFmtId="164" fontId="112" fillId="76" borderId="113" xfId="60" applyNumberFormat="1" applyFont="1" applyFill="1" applyBorder="1" applyAlignment="1">
      <alignment wrapText="1"/>
    </xf>
    <xf numFmtId="168" fontId="111" fillId="76" borderId="113" xfId="60" applyNumberFormat="1" applyFont="1" applyFill="1" applyBorder="1" applyAlignment="1">
      <alignment wrapText="1"/>
    </xf>
    <xf numFmtId="164" fontId="111" fillId="77" borderId="113" xfId="60" applyNumberFormat="1" applyFont="1" applyFill="1" applyBorder="1" applyAlignment="1">
      <alignment horizontal="right" wrapText="1"/>
    </xf>
    <xf numFmtId="165" fontId="117" fillId="67" borderId="113" xfId="60" applyNumberFormat="1" applyFont="1" applyFill="1" applyBorder="1" applyAlignment="1">
      <alignment horizontal="right" wrapText="1"/>
    </xf>
    <xf numFmtId="9" fontId="112" fillId="67" borderId="113" xfId="60" applyNumberFormat="1" applyFont="1" applyFill="1" applyBorder="1" applyAlignment="1">
      <alignment horizontal="center" wrapText="1"/>
    </xf>
    <xf numFmtId="168" fontId="117" fillId="67" borderId="113" xfId="60" applyNumberFormat="1" applyFont="1" applyFill="1" applyBorder="1" applyAlignment="1">
      <alignment horizontal="right" wrapText="1"/>
    </xf>
    <xf numFmtId="164" fontId="117" fillId="67" borderId="113" xfId="60" applyNumberFormat="1" applyFont="1" applyFill="1" applyBorder="1" applyAlignment="1">
      <alignment horizontal="right" wrapText="1"/>
    </xf>
    <xf numFmtId="165" fontId="113" fillId="67" borderId="113" xfId="60" applyNumberFormat="1" applyFont="1" applyFill="1" applyBorder="1" applyAlignment="1">
      <alignment horizontal="left" wrapText="1"/>
    </xf>
    <xf numFmtId="10" fontId="112" fillId="67" borderId="125" xfId="60" applyNumberFormat="1" applyFont="1" applyFill="1" applyBorder="1" applyAlignment="1">
      <alignment horizontal="center" vertical="center" wrapText="1"/>
    </xf>
    <xf numFmtId="10" fontId="112" fillId="67" borderId="113" xfId="60" applyNumberFormat="1" applyFont="1" applyFill="1" applyBorder="1" applyAlignment="1">
      <alignment horizontal="center" wrapText="1"/>
    </xf>
    <xf numFmtId="168" fontId="113" fillId="67" borderId="113" xfId="60" applyNumberFormat="1" applyFont="1" applyFill="1" applyBorder="1" applyAlignment="1">
      <alignment horizontal="right" wrapText="1"/>
    </xf>
    <xf numFmtId="10" fontId="112" fillId="67" borderId="126" xfId="60" applyNumberFormat="1" applyFont="1" applyFill="1" applyBorder="1" applyAlignment="1">
      <alignment horizontal="center" vertical="center" wrapText="1"/>
    </xf>
    <xf numFmtId="10" fontId="112" fillId="67" borderId="117" xfId="60" applyNumberFormat="1" applyFont="1" applyFill="1" applyBorder="1" applyAlignment="1">
      <alignment horizontal="center" vertical="center" wrapText="1"/>
    </xf>
    <xf numFmtId="10" fontId="112" fillId="67" borderId="113" xfId="60" applyNumberFormat="1" applyFont="1" applyFill="1" applyBorder="1" applyAlignment="1">
      <alignment horizontal="center" vertical="center" wrapText="1"/>
    </xf>
    <xf numFmtId="0" fontId="111" fillId="69" borderId="113" xfId="60" applyNumberFormat="1" applyFont="1" applyFill="1" applyBorder="1" applyAlignment="1">
      <alignment horizontal="center" wrapText="1"/>
    </xf>
    <xf numFmtId="165" fontId="111" fillId="69" borderId="113" xfId="60" applyNumberFormat="1" applyFont="1" applyFill="1" applyBorder="1" applyAlignment="1">
      <alignment wrapText="1"/>
    </xf>
    <xf numFmtId="10" fontId="112" fillId="69" borderId="113" xfId="60" applyNumberFormat="1" applyFont="1" applyFill="1" applyBorder="1" applyAlignment="1">
      <alignment horizontal="center" wrapText="1"/>
    </xf>
    <xf numFmtId="10" fontId="111" fillId="69" borderId="113" xfId="60" applyNumberFormat="1" applyFont="1" applyFill="1" applyBorder="1" applyAlignment="1">
      <alignment horizontal="center" wrapText="1"/>
    </xf>
    <xf numFmtId="168" fontId="111" fillId="69" borderId="113" xfId="60" applyNumberFormat="1" applyFont="1" applyFill="1" applyBorder="1" applyAlignment="1">
      <alignment wrapText="1"/>
    </xf>
    <xf numFmtId="10" fontId="112" fillId="67" borderId="113" xfId="60" applyNumberFormat="1" applyFont="1" applyFill="1" applyBorder="1" applyAlignment="1">
      <alignment wrapText="1"/>
    </xf>
    <xf numFmtId="168" fontId="113" fillId="73" borderId="113" xfId="60" applyNumberFormat="1" applyFont="1" applyFill="1" applyBorder="1" applyAlignment="1">
      <alignment horizontal="right" wrapText="1"/>
    </xf>
    <xf numFmtId="10" fontId="112" fillId="67" borderId="112" xfId="60" applyNumberFormat="1" applyFont="1" applyFill="1" applyBorder="1" applyAlignment="1">
      <alignment wrapText="1"/>
    </xf>
    <xf numFmtId="0" fontId="111" fillId="78" borderId="113" xfId="60" applyNumberFormat="1" applyFont="1" applyFill="1" applyBorder="1" applyAlignment="1">
      <alignment horizontal="center" wrapText="1"/>
    </xf>
    <xf numFmtId="165" fontId="111" fillId="78" borderId="113" xfId="60" applyNumberFormat="1" applyFont="1" applyFill="1" applyBorder="1" applyAlignment="1">
      <alignment wrapText="1"/>
    </xf>
    <xf numFmtId="9" fontId="111" fillId="78" borderId="113" xfId="60" applyNumberFormat="1" applyFont="1" applyFill="1" applyBorder="1" applyAlignment="1">
      <alignment horizontal="center" wrapText="1"/>
    </xf>
    <xf numFmtId="169" fontId="111" fillId="78" borderId="113" xfId="60" applyNumberFormat="1" applyFont="1" applyFill="1" applyBorder="1" applyAlignment="1">
      <alignment horizontal="center" wrapText="1"/>
    </xf>
    <xf numFmtId="168" fontId="111" fillId="78" borderId="113" xfId="60" applyNumberFormat="1" applyFont="1" applyFill="1" applyBorder="1" applyAlignment="1">
      <alignment wrapText="1"/>
    </xf>
    <xf numFmtId="165" fontId="112" fillId="67" borderId="113" xfId="60" applyNumberFormat="1" applyFont="1" applyFill="1" applyBorder="1" applyAlignment="1">
      <alignment horizontal="center" wrapText="1"/>
    </xf>
    <xf numFmtId="10" fontId="111" fillId="67" borderId="113" xfId="60" applyNumberFormat="1" applyFont="1" applyFill="1" applyBorder="1" applyAlignment="1">
      <alignment wrapText="1"/>
    </xf>
    <xf numFmtId="168" fontId="111" fillId="67" borderId="113" xfId="60" applyNumberFormat="1" applyFont="1" applyFill="1" applyBorder="1" applyAlignment="1">
      <alignment wrapText="1"/>
    </xf>
    <xf numFmtId="165" fontId="113" fillId="67" borderId="113" xfId="60" applyNumberFormat="1" applyFont="1" applyFill="1" applyBorder="1" applyAlignment="1">
      <alignment horizontal="right" wrapText="1"/>
    </xf>
    <xf numFmtId="168" fontId="112" fillId="67" borderId="113" xfId="60" applyNumberFormat="1" applyFont="1" applyFill="1" applyBorder="1" applyAlignment="1">
      <alignment wrapText="1"/>
    </xf>
    <xf numFmtId="9" fontId="112" fillId="67" borderId="113" xfId="60" applyNumberFormat="1" applyFont="1" applyFill="1" applyBorder="1" applyAlignment="1">
      <alignment wrapText="1"/>
    </xf>
    <xf numFmtId="165" fontId="112" fillId="67" borderId="113" xfId="60" applyNumberFormat="1" applyFont="1" applyFill="1" applyBorder="1" applyAlignment="1">
      <alignment horizontal="right" wrapText="1"/>
    </xf>
    <xf numFmtId="0" fontId="111" fillId="72" borderId="113" xfId="60" applyNumberFormat="1" applyFont="1" applyFill="1" applyBorder="1" applyAlignment="1">
      <alignment horizontal="center" vertical="center" wrapText="1"/>
    </xf>
    <xf numFmtId="165" fontId="111" fillId="72" borderId="113" xfId="60" applyNumberFormat="1" applyFont="1" applyFill="1" applyBorder="1" applyAlignment="1">
      <alignment horizontal="center" vertical="center" wrapText="1"/>
    </xf>
    <xf numFmtId="168" fontId="111" fillId="72" borderId="113" xfId="60" applyNumberFormat="1" applyFont="1" applyFill="1" applyBorder="1" applyAlignment="1">
      <alignment horizontal="center" vertical="center" wrapText="1"/>
    </xf>
    <xf numFmtId="0" fontId="111" fillId="76" borderId="113" xfId="60" applyNumberFormat="1" applyFont="1" applyFill="1" applyBorder="1" applyAlignment="1">
      <alignment horizontal="center" vertical="center" wrapText="1"/>
    </xf>
    <xf numFmtId="165" fontId="111" fillId="76" borderId="113" xfId="60" applyNumberFormat="1" applyFont="1" applyFill="1" applyBorder="1" applyAlignment="1">
      <alignment horizontal="left" vertical="center" wrapText="1"/>
    </xf>
    <xf numFmtId="165" fontId="112" fillId="76" borderId="113" xfId="60" applyNumberFormat="1" applyFont="1" applyFill="1" applyBorder="1" applyAlignment="1">
      <alignment horizontal="center" vertical="center" wrapText="1"/>
    </xf>
    <xf numFmtId="164" fontId="112" fillId="76" borderId="113" xfId="60" applyNumberFormat="1" applyFont="1" applyFill="1" applyBorder="1" applyAlignment="1">
      <alignment vertical="center" wrapText="1"/>
    </xf>
    <xf numFmtId="168" fontId="111" fillId="76" borderId="113" xfId="60" applyNumberFormat="1" applyFont="1" applyFill="1" applyBorder="1" applyAlignment="1">
      <alignment vertical="center" wrapText="1"/>
    </xf>
    <xf numFmtId="164" fontId="111" fillId="77" borderId="113" xfId="60" applyNumberFormat="1" applyFont="1" applyFill="1" applyBorder="1" applyAlignment="1">
      <alignment horizontal="right" vertical="center" wrapText="1"/>
    </xf>
    <xf numFmtId="165" fontId="117" fillId="67" borderId="113" xfId="60" applyNumberFormat="1" applyFont="1" applyFill="1" applyBorder="1" applyAlignment="1">
      <alignment horizontal="right" vertical="center" wrapText="1"/>
    </xf>
    <xf numFmtId="9" fontId="112" fillId="67" borderId="113" xfId="60" applyNumberFormat="1" applyFont="1" applyFill="1" applyBorder="1" applyAlignment="1">
      <alignment horizontal="center" vertical="center" wrapText="1"/>
    </xf>
    <xf numFmtId="168" fontId="117" fillId="67" borderId="113" xfId="60" applyNumberFormat="1" applyFont="1" applyFill="1" applyBorder="1" applyAlignment="1">
      <alignment horizontal="right" vertical="center" wrapText="1"/>
    </xf>
    <xf numFmtId="164" fontId="117" fillId="67" borderId="113" xfId="60" applyNumberFormat="1" applyFont="1" applyFill="1" applyBorder="1" applyAlignment="1">
      <alignment horizontal="right" vertical="center" wrapText="1"/>
    </xf>
    <xf numFmtId="165" fontId="113" fillId="67" borderId="113" xfId="60" applyNumberFormat="1" applyFont="1" applyFill="1" applyBorder="1" applyAlignment="1">
      <alignment horizontal="left" vertical="center" wrapText="1"/>
    </xf>
    <xf numFmtId="168" fontId="113" fillId="67" borderId="113" xfId="60" applyNumberFormat="1" applyFont="1" applyFill="1" applyBorder="1" applyAlignment="1">
      <alignment horizontal="right" vertical="center" wrapText="1"/>
    </xf>
    <xf numFmtId="164" fontId="113" fillId="67" borderId="113" xfId="60" applyNumberFormat="1" applyFont="1" applyFill="1" applyBorder="1" applyAlignment="1">
      <alignment horizontal="right" vertical="center" wrapText="1"/>
    </xf>
    <xf numFmtId="0" fontId="111" fillId="69" borderId="113" xfId="60" applyNumberFormat="1" applyFont="1" applyFill="1" applyBorder="1" applyAlignment="1">
      <alignment horizontal="center" vertical="center" wrapText="1"/>
    </xf>
    <xf numFmtId="165" fontId="111" fillId="69" borderId="113" xfId="60" applyNumberFormat="1" applyFont="1" applyFill="1" applyBorder="1" applyAlignment="1">
      <alignment vertical="center" wrapText="1"/>
    </xf>
    <xf numFmtId="10" fontId="112" fillId="69" borderId="113" xfId="60" applyNumberFormat="1" applyFont="1" applyFill="1" applyBorder="1" applyAlignment="1">
      <alignment horizontal="center" vertical="center" wrapText="1"/>
    </xf>
    <xf numFmtId="10" fontId="111" fillId="69" borderId="113" xfId="60" applyNumberFormat="1" applyFont="1" applyFill="1" applyBorder="1" applyAlignment="1">
      <alignment horizontal="center" vertical="center" wrapText="1"/>
    </xf>
    <xf numFmtId="168" fontId="111" fillId="69" borderId="113" xfId="60" applyNumberFormat="1" applyFont="1" applyFill="1" applyBorder="1" applyAlignment="1">
      <alignment vertical="center" wrapText="1"/>
    </xf>
    <xf numFmtId="164" fontId="111" fillId="69" borderId="113" xfId="60" applyNumberFormat="1" applyFont="1" applyFill="1" applyBorder="1" applyAlignment="1">
      <alignment vertical="center" wrapText="1"/>
    </xf>
    <xf numFmtId="10" fontId="112" fillId="67" borderId="113" xfId="60" applyNumberFormat="1" applyFont="1" applyFill="1" applyBorder="1" applyAlignment="1">
      <alignment vertical="center" wrapText="1"/>
    </xf>
    <xf numFmtId="168" fontId="113" fillId="73" borderId="113" xfId="60" applyNumberFormat="1" applyFont="1" applyFill="1" applyBorder="1" applyAlignment="1">
      <alignment horizontal="right" vertical="center" wrapText="1"/>
    </xf>
    <xf numFmtId="10" fontId="112" fillId="67" borderId="112" xfId="60" applyNumberFormat="1" applyFont="1" applyFill="1" applyBorder="1" applyAlignment="1">
      <alignment vertical="center" wrapText="1"/>
    </xf>
    <xf numFmtId="0" fontId="111" fillId="78" borderId="113" xfId="60" applyNumberFormat="1" applyFont="1" applyFill="1" applyBorder="1" applyAlignment="1">
      <alignment horizontal="center" vertical="center" wrapText="1"/>
    </xf>
    <xf numFmtId="165" fontId="111" fillId="78" borderId="113" xfId="60" applyNumberFormat="1" applyFont="1" applyFill="1" applyBorder="1" applyAlignment="1">
      <alignment vertical="center" wrapText="1"/>
    </xf>
    <xf numFmtId="9" fontId="111" fillId="78" borderId="113" xfId="60" applyNumberFormat="1" applyFont="1" applyFill="1" applyBorder="1" applyAlignment="1">
      <alignment horizontal="center" vertical="center" wrapText="1"/>
    </xf>
    <xf numFmtId="169" fontId="111" fillId="78" borderId="113" xfId="60" applyNumberFormat="1" applyFont="1" applyFill="1" applyBorder="1" applyAlignment="1">
      <alignment horizontal="center" vertical="center" wrapText="1"/>
    </xf>
    <xf numFmtId="168" fontId="111" fillId="78" borderId="113" xfId="60" applyNumberFormat="1" applyFont="1" applyFill="1" applyBorder="1" applyAlignment="1">
      <alignment vertical="center" wrapText="1"/>
    </xf>
    <xf numFmtId="164" fontId="111" fillId="78" borderId="113" xfId="60" applyNumberFormat="1" applyFont="1" applyFill="1" applyBorder="1" applyAlignment="1">
      <alignment vertical="center" wrapText="1"/>
    </xf>
    <xf numFmtId="165" fontId="112" fillId="67" borderId="113" xfId="60" applyNumberFormat="1" applyFont="1" applyFill="1" applyBorder="1" applyAlignment="1">
      <alignment horizontal="center" vertical="center" wrapText="1"/>
    </xf>
    <xf numFmtId="10" fontId="111" fillId="67" borderId="113" xfId="60" applyNumberFormat="1" applyFont="1" applyFill="1" applyBorder="1" applyAlignment="1">
      <alignment vertical="center" wrapText="1"/>
    </xf>
    <xf numFmtId="168" fontId="111" fillId="67" borderId="113" xfId="60" applyNumberFormat="1" applyFont="1" applyFill="1" applyBorder="1" applyAlignment="1">
      <alignment vertical="center" wrapText="1"/>
    </xf>
    <xf numFmtId="165" fontId="113" fillId="67" borderId="113" xfId="60" applyNumberFormat="1" applyFont="1" applyFill="1" applyBorder="1" applyAlignment="1">
      <alignment horizontal="right" vertical="center" wrapText="1"/>
    </xf>
    <xf numFmtId="168" fontId="112" fillId="67" borderId="113" xfId="60" applyNumberFormat="1" applyFont="1" applyFill="1" applyBorder="1" applyAlignment="1">
      <alignment vertical="center" wrapText="1"/>
    </xf>
    <xf numFmtId="9" fontId="112" fillId="67" borderId="113" xfId="60" applyNumberFormat="1" applyFont="1" applyFill="1" applyBorder="1" applyAlignment="1">
      <alignment vertical="center" wrapText="1"/>
    </xf>
    <xf numFmtId="165" fontId="112" fillId="67" borderId="113" xfId="60" applyNumberFormat="1" applyFont="1" applyFill="1" applyBorder="1" applyAlignment="1">
      <alignment horizontal="right" vertical="center" wrapText="1"/>
    </xf>
    <xf numFmtId="0" fontId="111" fillId="79" borderId="113" xfId="60" applyNumberFormat="1" applyFont="1" applyFill="1" applyBorder="1" applyAlignment="1">
      <alignment horizontal="center" vertical="center" wrapText="1"/>
    </xf>
    <xf numFmtId="165" fontId="111" fillId="79" borderId="113" xfId="60" applyNumberFormat="1" applyFont="1" applyFill="1" applyBorder="1" applyAlignment="1">
      <alignment horizontal="left" vertical="center" wrapText="1"/>
    </xf>
    <xf numFmtId="164" fontId="112" fillId="79" borderId="113" xfId="60" applyNumberFormat="1" applyFont="1" applyFill="1" applyBorder="1" applyAlignment="1">
      <alignment vertical="center" wrapText="1"/>
    </xf>
    <xf numFmtId="168" fontId="111" fillId="79" borderId="113" xfId="60" applyNumberFormat="1" applyFont="1" applyFill="1" applyBorder="1" applyAlignment="1">
      <alignment vertical="center" wrapText="1"/>
    </xf>
    <xf numFmtId="164" fontId="111" fillId="79" borderId="113" xfId="60" applyNumberFormat="1" applyFont="1" applyFill="1" applyBorder="1" applyAlignment="1">
      <alignment horizontal="right" vertical="center" wrapText="1"/>
    </xf>
    <xf numFmtId="0" fontId="111" fillId="79" borderId="128" xfId="60" applyNumberFormat="1" applyFont="1" applyFill="1" applyBorder="1" applyAlignment="1">
      <alignment horizontal="center" vertical="center" wrapText="1"/>
    </xf>
    <xf numFmtId="165" fontId="111" fillId="79" borderId="128" xfId="60" applyNumberFormat="1" applyFont="1" applyFill="1" applyBorder="1" applyAlignment="1">
      <alignment horizontal="left" vertical="center" wrapText="1"/>
    </xf>
    <xf numFmtId="164" fontId="112" fillId="79" borderId="128" xfId="60" applyNumberFormat="1" applyFont="1" applyFill="1" applyBorder="1" applyAlignment="1">
      <alignment vertical="center" wrapText="1"/>
    </xf>
    <xf numFmtId="168" fontId="111" fillId="79" borderId="128" xfId="60" applyNumberFormat="1" applyFont="1" applyFill="1" applyBorder="1" applyAlignment="1">
      <alignment vertical="center" wrapText="1"/>
    </xf>
    <xf numFmtId="164" fontId="111" fillId="79" borderId="128" xfId="60" applyNumberFormat="1" applyFont="1" applyFill="1" applyBorder="1" applyAlignment="1">
      <alignment horizontal="right" vertical="center" wrapText="1"/>
    </xf>
    <xf numFmtId="165" fontId="117" fillId="80" borderId="113" xfId="60" applyNumberFormat="1" applyFont="1" applyFill="1" applyBorder="1" applyAlignment="1">
      <alignment horizontal="right" vertical="center" wrapText="1"/>
    </xf>
    <xf numFmtId="164" fontId="112" fillId="80" borderId="113" xfId="60" applyNumberFormat="1" applyFont="1" applyFill="1" applyBorder="1" applyAlignment="1">
      <alignment vertical="center" wrapText="1"/>
    </xf>
    <xf numFmtId="168" fontId="117" fillId="80" borderId="113" xfId="60" applyNumberFormat="1" applyFont="1" applyFill="1" applyBorder="1" applyAlignment="1">
      <alignment horizontal="right" vertical="center" wrapText="1"/>
    </xf>
    <xf numFmtId="164" fontId="117" fillId="80" borderId="113" xfId="60" applyNumberFormat="1" applyFont="1" applyFill="1" applyBorder="1" applyAlignment="1">
      <alignment horizontal="right" vertical="center" wrapText="1"/>
    </xf>
    <xf numFmtId="164" fontId="112" fillId="80" borderId="112" xfId="60" applyNumberFormat="1" applyFont="1" applyFill="1" applyBorder="1" applyAlignment="1">
      <alignment vertical="center" wrapText="1"/>
    </xf>
    <xf numFmtId="165" fontId="117" fillId="80" borderId="128" xfId="60" applyNumberFormat="1" applyFont="1" applyFill="1" applyBorder="1" applyAlignment="1">
      <alignment horizontal="right" vertical="center" wrapText="1"/>
    </xf>
    <xf numFmtId="164" fontId="112" fillId="80" borderId="128" xfId="60" applyNumberFormat="1" applyFont="1" applyFill="1" applyBorder="1" applyAlignment="1">
      <alignment vertical="center" wrapText="1"/>
    </xf>
    <xf numFmtId="168" fontId="117" fillId="80" borderId="128" xfId="60" applyNumberFormat="1" applyFont="1" applyFill="1" applyBorder="1" applyAlignment="1">
      <alignment horizontal="right" vertical="center" wrapText="1"/>
    </xf>
    <xf numFmtId="164" fontId="117" fillId="80" borderId="128" xfId="60" applyNumberFormat="1" applyFont="1" applyFill="1" applyBorder="1" applyAlignment="1">
      <alignment horizontal="right" vertical="center" wrapText="1"/>
    </xf>
    <xf numFmtId="164" fontId="112" fillId="80" borderId="130" xfId="60" applyNumberFormat="1" applyFont="1" applyFill="1" applyBorder="1" applyAlignment="1">
      <alignment vertical="center" wrapText="1"/>
    </xf>
    <xf numFmtId="165" fontId="113" fillId="79" borderId="113" xfId="60" applyNumberFormat="1" applyFont="1" applyFill="1" applyBorder="1" applyAlignment="1">
      <alignment horizontal="left" vertical="center" wrapText="1"/>
    </xf>
    <xf numFmtId="10" fontId="112" fillId="79" borderId="125" xfId="60" applyNumberFormat="1" applyFont="1" applyFill="1" applyBorder="1" applyAlignment="1">
      <alignment horizontal="center" vertical="center" wrapText="1"/>
    </xf>
    <xf numFmtId="10" fontId="112" fillId="79" borderId="113" xfId="60" applyNumberFormat="1" applyFont="1" applyFill="1" applyBorder="1" applyAlignment="1">
      <alignment horizontal="center" vertical="center" wrapText="1"/>
    </xf>
    <xf numFmtId="168" fontId="113" fillId="79" borderId="113" xfId="60" applyNumberFormat="1" applyFont="1" applyFill="1" applyBorder="1" applyAlignment="1">
      <alignment horizontal="right" vertical="center" wrapText="1"/>
    </xf>
    <xf numFmtId="164" fontId="113" fillId="79" borderId="113" xfId="60" applyNumberFormat="1" applyFont="1" applyFill="1" applyBorder="1" applyAlignment="1">
      <alignment horizontal="right" vertical="center" wrapText="1"/>
    </xf>
    <xf numFmtId="165" fontId="113" fillId="79" borderId="128" xfId="60" applyNumberFormat="1" applyFont="1" applyFill="1" applyBorder="1" applyAlignment="1">
      <alignment horizontal="left" vertical="center" wrapText="1"/>
    </xf>
    <xf numFmtId="10" fontId="112" fillId="79" borderId="128" xfId="60" applyNumberFormat="1" applyFont="1" applyFill="1" applyBorder="1" applyAlignment="1">
      <alignment horizontal="center" vertical="center" wrapText="1"/>
    </xf>
    <xf numFmtId="168" fontId="113" fillId="79" borderId="128" xfId="60" applyNumberFormat="1" applyFont="1" applyFill="1" applyBorder="1" applyAlignment="1">
      <alignment horizontal="right" vertical="center" wrapText="1"/>
    </xf>
    <xf numFmtId="164" fontId="113" fillId="79" borderId="128" xfId="60" applyNumberFormat="1" applyFont="1" applyFill="1" applyBorder="1" applyAlignment="1">
      <alignment horizontal="right" vertical="center" wrapText="1"/>
    </xf>
    <xf numFmtId="165" fontId="113" fillId="80" borderId="113" xfId="60" applyNumberFormat="1" applyFont="1" applyFill="1" applyBorder="1" applyAlignment="1">
      <alignment horizontal="left" vertical="center" wrapText="1"/>
    </xf>
    <xf numFmtId="10" fontId="112" fillId="80" borderId="126" xfId="60" applyNumberFormat="1" applyFont="1" applyFill="1" applyBorder="1" applyAlignment="1">
      <alignment horizontal="center" vertical="center" wrapText="1"/>
    </xf>
    <xf numFmtId="10" fontId="112" fillId="80" borderId="113" xfId="60" applyNumberFormat="1" applyFont="1" applyFill="1" applyBorder="1" applyAlignment="1">
      <alignment horizontal="center" vertical="center" wrapText="1"/>
    </xf>
    <xf numFmtId="168" fontId="113" fillId="80" borderId="113" xfId="60" applyNumberFormat="1" applyFont="1" applyFill="1" applyBorder="1" applyAlignment="1">
      <alignment horizontal="right" vertical="center" wrapText="1"/>
    </xf>
    <xf numFmtId="164" fontId="113" fillId="80" borderId="113" xfId="60" applyNumberFormat="1" applyFont="1" applyFill="1" applyBorder="1" applyAlignment="1">
      <alignment horizontal="right" vertical="center" wrapText="1"/>
    </xf>
    <xf numFmtId="165" fontId="113" fillId="80" borderId="128" xfId="60" applyNumberFormat="1" applyFont="1" applyFill="1" applyBorder="1" applyAlignment="1">
      <alignment horizontal="left" vertical="center" wrapText="1"/>
    </xf>
    <xf numFmtId="10" fontId="112" fillId="80" borderId="132" xfId="60" applyNumberFormat="1" applyFont="1" applyFill="1" applyBorder="1" applyAlignment="1">
      <alignment horizontal="center" vertical="center" wrapText="1"/>
    </xf>
    <xf numFmtId="10" fontId="112" fillId="80" borderId="128" xfId="60" applyNumberFormat="1" applyFont="1" applyFill="1" applyBorder="1" applyAlignment="1">
      <alignment horizontal="center" vertical="center" wrapText="1"/>
    </xf>
    <xf numFmtId="168" fontId="113" fillId="80" borderId="128" xfId="60" applyNumberFormat="1" applyFont="1" applyFill="1" applyBorder="1" applyAlignment="1">
      <alignment horizontal="right" vertical="center" wrapText="1"/>
    </xf>
    <xf numFmtId="164" fontId="113" fillId="80" borderId="128" xfId="60" applyNumberFormat="1" applyFont="1" applyFill="1" applyBorder="1" applyAlignment="1">
      <alignment horizontal="right" vertical="center" wrapText="1"/>
    </xf>
    <xf numFmtId="10" fontId="112" fillId="79" borderId="126" xfId="60" applyNumberFormat="1" applyFont="1" applyFill="1" applyBorder="1" applyAlignment="1">
      <alignment horizontal="center" vertical="center" wrapText="1"/>
    </xf>
    <xf numFmtId="10" fontId="112" fillId="79" borderId="132" xfId="60" applyNumberFormat="1" applyFont="1" applyFill="1" applyBorder="1" applyAlignment="1">
      <alignment horizontal="center" vertical="center" wrapText="1"/>
    </xf>
    <xf numFmtId="10" fontId="112" fillId="79" borderId="117" xfId="60" applyNumberFormat="1" applyFont="1" applyFill="1" applyBorder="1" applyAlignment="1">
      <alignment horizontal="center" vertical="center" wrapText="1"/>
    </xf>
    <xf numFmtId="10" fontId="112" fillId="80" borderId="125" xfId="60" applyNumberFormat="1" applyFont="1" applyFill="1" applyBorder="1" applyAlignment="1">
      <alignment horizontal="center" vertical="center" wrapText="1"/>
    </xf>
    <xf numFmtId="10" fontId="112" fillId="80" borderId="117" xfId="60" applyNumberFormat="1" applyFont="1" applyFill="1" applyBorder="1" applyAlignment="1">
      <alignment horizontal="center" vertical="center" wrapText="1"/>
    </xf>
    <xf numFmtId="165" fontId="111" fillId="79" borderId="113" xfId="60" applyNumberFormat="1" applyFont="1" applyFill="1" applyBorder="1" applyAlignment="1">
      <alignment vertical="center" wrapText="1"/>
    </xf>
    <xf numFmtId="10" fontId="111" fillId="79" borderId="113" xfId="60" applyNumberFormat="1" applyFont="1" applyFill="1" applyBorder="1" applyAlignment="1">
      <alignment horizontal="center" vertical="center" wrapText="1"/>
    </xf>
    <xf numFmtId="164" fontId="111" fillId="79" borderId="113" xfId="60" applyNumberFormat="1" applyFont="1" applyFill="1" applyBorder="1" applyAlignment="1">
      <alignment vertical="center" wrapText="1"/>
    </xf>
    <xf numFmtId="165" fontId="111" fillId="79" borderId="128" xfId="60" applyNumberFormat="1" applyFont="1" applyFill="1" applyBorder="1" applyAlignment="1">
      <alignment vertical="center" wrapText="1"/>
    </xf>
    <xf numFmtId="10" fontId="111" fillId="79" borderId="128" xfId="60" applyNumberFormat="1" applyFont="1" applyFill="1" applyBorder="1" applyAlignment="1">
      <alignment horizontal="center" vertical="center" wrapText="1"/>
    </xf>
    <xf numFmtId="164" fontId="111" fillId="79" borderId="128" xfId="60" applyNumberFormat="1" applyFont="1" applyFill="1" applyBorder="1" applyAlignment="1">
      <alignment vertical="center" wrapText="1"/>
    </xf>
    <xf numFmtId="10" fontId="112" fillId="80" borderId="113" xfId="60" applyNumberFormat="1" applyFont="1" applyFill="1" applyBorder="1" applyAlignment="1">
      <alignment vertical="center" wrapText="1"/>
    </xf>
    <xf numFmtId="10" fontId="112" fillId="80" borderId="128" xfId="60" applyNumberFormat="1" applyFont="1" applyFill="1" applyBorder="1" applyAlignment="1">
      <alignment vertical="center" wrapText="1"/>
    </xf>
    <xf numFmtId="164" fontId="112" fillId="79" borderId="125" xfId="60" applyNumberFormat="1" applyFont="1" applyFill="1" applyBorder="1" applyAlignment="1">
      <alignment horizontal="center" vertical="center" wrapText="1"/>
    </xf>
    <xf numFmtId="10" fontId="112" fillId="79" borderId="112" xfId="60" applyNumberFormat="1" applyFont="1" applyFill="1" applyBorder="1" applyAlignment="1">
      <alignment vertical="center" wrapText="1"/>
    </xf>
    <xf numFmtId="10" fontId="112" fillId="79" borderId="130" xfId="60" applyNumberFormat="1" applyFont="1" applyFill="1" applyBorder="1" applyAlignment="1">
      <alignment vertical="center" wrapText="1"/>
    </xf>
    <xf numFmtId="164" fontId="112" fillId="80" borderId="126" xfId="60" applyNumberFormat="1" applyFont="1" applyFill="1" applyBorder="1" applyAlignment="1">
      <alignment horizontal="center" vertical="center" wrapText="1"/>
    </xf>
    <xf numFmtId="164" fontId="112" fillId="80" borderId="132" xfId="60" applyNumberFormat="1" applyFont="1" applyFill="1" applyBorder="1" applyAlignment="1">
      <alignment horizontal="center" vertical="center" wrapText="1"/>
    </xf>
    <xf numFmtId="164" fontId="112" fillId="79" borderId="126" xfId="60" applyNumberFormat="1" applyFont="1" applyFill="1" applyBorder="1" applyAlignment="1">
      <alignment horizontal="center" vertical="center" wrapText="1"/>
    </xf>
    <xf numFmtId="164" fontId="112" fillId="79" borderId="132" xfId="60" applyNumberFormat="1" applyFont="1" applyFill="1" applyBorder="1" applyAlignment="1">
      <alignment horizontal="center" vertical="center" wrapText="1"/>
    </xf>
    <xf numFmtId="164" fontId="112" fillId="79" borderId="117" xfId="60" applyNumberFormat="1" applyFont="1" applyFill="1" applyBorder="1" applyAlignment="1">
      <alignment horizontal="center" vertical="center" wrapText="1"/>
    </xf>
    <xf numFmtId="164" fontId="112" fillId="80" borderId="125" xfId="60" applyNumberFormat="1" applyFont="1" applyFill="1" applyBorder="1" applyAlignment="1">
      <alignment horizontal="center" vertical="center" wrapText="1"/>
    </xf>
    <xf numFmtId="164" fontId="112" fillId="80" borderId="128" xfId="60" applyNumberFormat="1" applyFont="1" applyFill="1" applyBorder="1" applyAlignment="1">
      <alignment horizontal="center" vertical="center" wrapText="1"/>
    </xf>
    <xf numFmtId="164" fontId="112" fillId="80" borderId="117" xfId="60" applyNumberFormat="1" applyFont="1" applyFill="1" applyBorder="1" applyAlignment="1">
      <alignment horizontal="center" vertical="center" wrapText="1"/>
    </xf>
    <xf numFmtId="0" fontId="111" fillId="80" borderId="113" xfId="60" applyNumberFormat="1" applyFont="1" applyFill="1" applyBorder="1" applyAlignment="1">
      <alignment horizontal="center" vertical="center" wrapText="1"/>
    </xf>
    <xf numFmtId="165" fontId="111" fillId="80" borderId="113" xfId="60" applyNumberFormat="1" applyFont="1" applyFill="1" applyBorder="1" applyAlignment="1">
      <alignment vertical="center" wrapText="1"/>
    </xf>
    <xf numFmtId="9" fontId="111" fillId="80" borderId="113" xfId="60" applyNumberFormat="1" applyFont="1" applyFill="1" applyBorder="1" applyAlignment="1">
      <alignment horizontal="center" vertical="center" wrapText="1"/>
    </xf>
    <xf numFmtId="169" fontId="111" fillId="80" borderId="113" xfId="60" applyNumberFormat="1" applyFont="1" applyFill="1" applyBorder="1" applyAlignment="1">
      <alignment horizontal="center" vertical="center" wrapText="1"/>
    </xf>
    <xf numFmtId="168" fontId="111" fillId="80" borderId="113" xfId="60" applyNumberFormat="1" applyFont="1" applyFill="1" applyBorder="1" applyAlignment="1">
      <alignment vertical="center" wrapText="1"/>
    </xf>
    <xf numFmtId="164" fontId="111" fillId="80" borderId="113" xfId="60" applyNumberFormat="1" applyFont="1" applyFill="1" applyBorder="1" applyAlignment="1">
      <alignment vertical="center" wrapText="1"/>
    </xf>
    <xf numFmtId="0" fontId="111" fillId="80" borderId="128" xfId="60" applyNumberFormat="1" applyFont="1" applyFill="1" applyBorder="1" applyAlignment="1">
      <alignment horizontal="center" vertical="center" wrapText="1"/>
    </xf>
    <xf numFmtId="165" fontId="111" fillId="80" borderId="128" xfId="60" applyNumberFormat="1" applyFont="1" applyFill="1" applyBorder="1" applyAlignment="1">
      <alignment vertical="center" wrapText="1"/>
    </xf>
    <xf numFmtId="9" fontId="111" fillId="80" borderId="128" xfId="60" applyNumberFormat="1" applyFont="1" applyFill="1" applyBorder="1" applyAlignment="1">
      <alignment horizontal="center" vertical="center" wrapText="1"/>
    </xf>
    <xf numFmtId="169" fontId="111" fillId="80" borderId="128" xfId="60" applyNumberFormat="1" applyFont="1" applyFill="1" applyBorder="1" applyAlignment="1">
      <alignment horizontal="center" vertical="center" wrapText="1"/>
    </xf>
    <xf numFmtId="168" fontId="111" fillId="80" borderId="128" xfId="60" applyNumberFormat="1" applyFont="1" applyFill="1" applyBorder="1" applyAlignment="1">
      <alignment vertical="center" wrapText="1"/>
    </xf>
    <xf numFmtId="164" fontId="111" fillId="80" borderId="128" xfId="60" applyNumberFormat="1" applyFont="1" applyFill="1" applyBorder="1" applyAlignment="1">
      <alignment vertical="center" wrapText="1"/>
    </xf>
    <xf numFmtId="165" fontId="117" fillId="79" borderId="113" xfId="60" applyNumberFormat="1" applyFont="1" applyFill="1" applyBorder="1" applyAlignment="1">
      <alignment horizontal="right" vertical="center" wrapText="1"/>
    </xf>
    <xf numFmtId="10" fontId="111" fillId="79" borderId="113" xfId="60" applyNumberFormat="1" applyFont="1" applyFill="1" applyBorder="1" applyAlignment="1">
      <alignment vertical="center" wrapText="1"/>
    </xf>
    <xf numFmtId="165" fontId="117" fillId="79" borderId="128" xfId="60" applyNumberFormat="1" applyFont="1" applyFill="1" applyBorder="1" applyAlignment="1">
      <alignment horizontal="right" vertical="center" wrapText="1"/>
    </xf>
    <xf numFmtId="10" fontId="111" fillId="79" borderId="128" xfId="60" applyNumberFormat="1" applyFont="1" applyFill="1" applyBorder="1" applyAlignment="1">
      <alignment vertical="center" wrapText="1"/>
    </xf>
    <xf numFmtId="165" fontId="113" fillId="80" borderId="113" xfId="60" applyNumberFormat="1" applyFont="1" applyFill="1" applyBorder="1" applyAlignment="1">
      <alignment horizontal="right" vertical="center" wrapText="1"/>
    </xf>
    <xf numFmtId="168" fontId="112" fillId="80" borderId="113" xfId="60" applyNumberFormat="1" applyFont="1" applyFill="1" applyBorder="1" applyAlignment="1">
      <alignment vertical="center" wrapText="1"/>
    </xf>
    <xf numFmtId="165" fontId="113" fillId="80" borderId="128" xfId="60" applyNumberFormat="1" applyFont="1" applyFill="1" applyBorder="1" applyAlignment="1">
      <alignment horizontal="right" vertical="center" wrapText="1"/>
    </xf>
    <xf numFmtId="168" fontId="112" fillId="80" borderId="128" xfId="60" applyNumberFormat="1" applyFont="1" applyFill="1" applyBorder="1" applyAlignment="1">
      <alignment vertical="center" wrapText="1"/>
    </xf>
    <xf numFmtId="165" fontId="113" fillId="79" borderId="113" xfId="60" applyNumberFormat="1" applyFont="1" applyFill="1" applyBorder="1" applyAlignment="1">
      <alignment horizontal="right" vertical="center" wrapText="1"/>
    </xf>
    <xf numFmtId="168" fontId="112" fillId="79" borderId="113" xfId="60" applyNumberFormat="1" applyFont="1" applyFill="1" applyBorder="1" applyAlignment="1">
      <alignment vertical="center" wrapText="1"/>
    </xf>
    <xf numFmtId="165" fontId="113" fillId="79" borderId="128" xfId="60" applyNumberFormat="1" applyFont="1" applyFill="1" applyBorder="1" applyAlignment="1">
      <alignment horizontal="right" vertical="center" wrapText="1"/>
    </xf>
    <xf numFmtId="168" fontId="112" fillId="79" borderId="128" xfId="60" applyNumberFormat="1" applyFont="1" applyFill="1" applyBorder="1" applyAlignment="1">
      <alignment vertical="center" wrapText="1"/>
    </xf>
    <xf numFmtId="9" fontId="112" fillId="79" borderId="113" xfId="60" applyNumberFormat="1" applyFont="1" applyFill="1" applyBorder="1" applyAlignment="1">
      <alignment vertical="center" wrapText="1"/>
    </xf>
    <xf numFmtId="9" fontId="112" fillId="79" borderId="128" xfId="60" applyNumberFormat="1" applyFont="1" applyFill="1" applyBorder="1" applyAlignment="1">
      <alignment vertical="center" wrapText="1"/>
    </xf>
    <xf numFmtId="165" fontId="112" fillId="79" borderId="113" xfId="60" applyNumberFormat="1" applyFont="1" applyFill="1" applyBorder="1" applyAlignment="1">
      <alignment horizontal="right" vertical="center" wrapText="1"/>
    </xf>
    <xf numFmtId="168" fontId="111" fillId="81" borderId="113" xfId="60" applyNumberFormat="1" applyFont="1" applyFill="1" applyBorder="1" applyAlignment="1">
      <alignment horizontal="center" vertical="center" wrapText="1"/>
    </xf>
    <xf numFmtId="168" fontId="114" fillId="81" borderId="113" xfId="60" applyNumberFormat="1" applyFont="1" applyFill="1" applyBorder="1" applyAlignment="1">
      <alignment horizontal="center" vertical="center" wrapText="1"/>
    </xf>
    <xf numFmtId="168" fontId="114" fillId="81" borderId="129" xfId="60" applyNumberFormat="1" applyFont="1" applyFill="1" applyBorder="1" applyAlignment="1">
      <alignment horizontal="center" vertical="center" wrapText="1"/>
    </xf>
    <xf numFmtId="0" fontId="118" fillId="79" borderId="128" xfId="60" applyNumberFormat="1" applyFont="1" applyFill="1" applyBorder="1" applyAlignment="1">
      <alignment horizontal="center" vertical="center" wrapText="1"/>
    </xf>
    <xf numFmtId="0" fontId="118" fillId="79" borderId="128" xfId="60" applyNumberFormat="1" applyFont="1" applyFill="1" applyBorder="1" applyAlignment="1">
      <alignment horizontal="right" vertical="center" wrapText="1"/>
    </xf>
    <xf numFmtId="168" fontId="111" fillId="79" borderId="128" xfId="60" applyNumberFormat="1" applyFont="1" applyFill="1" applyBorder="1" applyAlignment="1">
      <alignment horizontal="right" vertical="center" wrapText="1"/>
    </xf>
    <xf numFmtId="164" fontId="112" fillId="80" borderId="130" xfId="60" applyNumberFormat="1" applyFont="1" applyFill="1" applyBorder="1" applyAlignment="1">
      <alignment horizontal="right" vertical="center" wrapText="1"/>
    </xf>
    <xf numFmtId="165" fontId="119" fillId="79" borderId="128" xfId="60" applyNumberFormat="1" applyFont="1" applyFill="1" applyBorder="1" applyAlignment="1">
      <alignment horizontal="left" vertical="center" wrapText="1"/>
    </xf>
    <xf numFmtId="165" fontId="119" fillId="79" borderId="128" xfId="60" applyNumberFormat="1" applyFont="1" applyFill="1" applyBorder="1" applyAlignment="1">
      <alignment horizontal="right" vertical="center" wrapText="1"/>
    </xf>
    <xf numFmtId="10" fontId="112" fillId="79" borderId="128" xfId="60" applyNumberFormat="1" applyFont="1" applyFill="1" applyBorder="1" applyAlignment="1">
      <alignment horizontal="right" vertical="center" wrapText="1"/>
    </xf>
    <xf numFmtId="168" fontId="119" fillId="79" borderId="128" xfId="60" applyNumberFormat="1" applyFont="1" applyFill="1" applyBorder="1" applyAlignment="1">
      <alignment horizontal="right" vertical="center" wrapText="1"/>
    </xf>
    <xf numFmtId="165" fontId="119" fillId="80" borderId="128" xfId="60" applyNumberFormat="1" applyFont="1" applyFill="1" applyBorder="1" applyAlignment="1">
      <alignment horizontal="left" vertical="center" wrapText="1"/>
    </xf>
    <xf numFmtId="165" fontId="119" fillId="80" borderId="128" xfId="60" applyNumberFormat="1" applyFont="1" applyFill="1" applyBorder="1" applyAlignment="1">
      <alignment horizontal="right" vertical="center" wrapText="1"/>
    </xf>
    <xf numFmtId="10" fontId="112" fillId="80" borderId="128" xfId="60" applyNumberFormat="1" applyFont="1" applyFill="1" applyBorder="1" applyAlignment="1">
      <alignment horizontal="right" vertical="center" wrapText="1"/>
    </xf>
    <xf numFmtId="168" fontId="119" fillId="80" borderId="128" xfId="60" applyNumberFormat="1" applyFont="1" applyFill="1" applyBorder="1" applyAlignment="1">
      <alignment horizontal="right" vertical="center" wrapText="1"/>
    </xf>
    <xf numFmtId="10" fontId="112" fillId="79" borderId="130" xfId="60" applyNumberFormat="1" applyFont="1" applyFill="1" applyBorder="1" applyAlignment="1">
      <alignment horizontal="right" vertical="center" wrapText="1"/>
    </xf>
    <xf numFmtId="164" fontId="112" fillId="80" borderId="128" xfId="60" applyNumberFormat="1" applyFont="1" applyFill="1" applyBorder="1" applyAlignment="1">
      <alignment horizontal="right" vertical="center" wrapText="1"/>
    </xf>
    <xf numFmtId="0" fontId="118" fillId="80" borderId="128" xfId="60" applyNumberFormat="1" applyFont="1" applyFill="1" applyBorder="1" applyAlignment="1">
      <alignment horizontal="center" vertical="center" wrapText="1"/>
    </xf>
    <xf numFmtId="0" fontId="118" fillId="80" borderId="128" xfId="60" applyNumberFormat="1" applyFont="1" applyFill="1" applyBorder="1" applyAlignment="1">
      <alignment horizontal="right" vertical="center" wrapText="1"/>
    </xf>
    <xf numFmtId="10" fontId="111" fillId="79" borderId="128" xfId="60" applyNumberFormat="1" applyFont="1" applyFill="1" applyBorder="1" applyAlignment="1">
      <alignment horizontal="right" vertical="center" wrapText="1"/>
    </xf>
    <xf numFmtId="9" fontId="115" fillId="79" borderId="128" xfId="60" applyNumberFormat="1" applyFont="1" applyFill="1" applyBorder="1" applyAlignment="1">
      <alignment vertical="center" wrapText="1"/>
    </xf>
    <xf numFmtId="168" fontId="112" fillId="79" borderId="128" xfId="60" applyNumberFormat="1" applyFont="1" applyFill="1" applyBorder="1" applyAlignment="1">
      <alignment horizontal="right" vertical="center" wrapText="1"/>
    </xf>
    <xf numFmtId="0" fontId="111" fillId="67" borderId="113" xfId="60" applyNumberFormat="1" applyFont="1" applyFill="1" applyBorder="1" applyAlignment="1">
      <alignment horizontal="center" vertical="center"/>
    </xf>
    <xf numFmtId="0" fontId="113" fillId="67" borderId="112" xfId="60" applyNumberFormat="1" applyFont="1" applyFill="1" applyBorder="1"/>
    <xf numFmtId="0" fontId="113" fillId="67" borderId="113" xfId="60" applyNumberFormat="1" applyFont="1" applyFill="1" applyBorder="1" applyAlignment="1">
      <alignment horizontal="center" vertical="center"/>
    </xf>
    <xf numFmtId="0" fontId="113" fillId="67" borderId="113" xfId="60" applyNumberFormat="1" applyFont="1" applyFill="1" applyBorder="1" applyAlignment="1">
      <alignment horizontal="left" vertical="center"/>
    </xf>
    <xf numFmtId="164" fontId="113" fillId="67" borderId="113" xfId="60" applyNumberFormat="1" applyFont="1" applyFill="1" applyBorder="1"/>
    <xf numFmtId="164" fontId="113" fillId="67" borderId="112" xfId="60" applyNumberFormat="1" applyFont="1" applyFill="1" applyBorder="1"/>
    <xf numFmtId="0" fontId="113" fillId="67" borderId="112" xfId="60" applyNumberFormat="1" applyFont="1" applyFill="1" applyBorder="1" applyAlignment="1">
      <alignment horizontal="center" vertical="center"/>
    </xf>
    <xf numFmtId="168" fontId="113" fillId="67" borderId="112" xfId="60" applyNumberFormat="1" applyFont="1" applyFill="1" applyBorder="1"/>
    <xf numFmtId="0" fontId="113" fillId="67" borderId="112" xfId="60" applyNumberFormat="1" applyFont="1" applyFill="1" applyBorder="1" applyAlignment="1">
      <alignment wrapText="1"/>
    </xf>
    <xf numFmtId="0" fontId="113" fillId="67" borderId="113" xfId="60" applyNumberFormat="1" applyFont="1" applyFill="1" applyBorder="1" applyAlignment="1">
      <alignment horizontal="center" vertical="center" wrapText="1"/>
    </xf>
    <xf numFmtId="0" fontId="113" fillId="67" borderId="113" xfId="60" applyNumberFormat="1" applyFont="1" applyFill="1" applyBorder="1" applyAlignment="1">
      <alignment horizontal="left" vertical="center" wrapText="1"/>
    </xf>
    <xf numFmtId="164" fontId="113" fillId="67" borderId="113" xfId="60" applyNumberFormat="1" applyFont="1" applyFill="1" applyBorder="1" applyAlignment="1">
      <alignment wrapText="1"/>
    </xf>
    <xf numFmtId="164" fontId="113" fillId="67" borderId="112" xfId="60" applyNumberFormat="1" applyFont="1" applyFill="1" applyBorder="1" applyAlignment="1">
      <alignment wrapText="1"/>
    </xf>
    <xf numFmtId="0" fontId="113" fillId="67" borderId="112" xfId="60" applyNumberFormat="1" applyFont="1" applyFill="1" applyBorder="1" applyAlignment="1">
      <alignment horizontal="center" vertical="center" wrapText="1"/>
    </xf>
    <xf numFmtId="168" fontId="113" fillId="67" borderId="112" xfId="60" applyNumberFormat="1" applyFont="1" applyFill="1" applyBorder="1" applyAlignment="1">
      <alignment wrapText="1"/>
    </xf>
    <xf numFmtId="0" fontId="113" fillId="67" borderId="112" xfId="60" applyNumberFormat="1" applyFont="1" applyFill="1" applyBorder="1" applyAlignment="1">
      <alignment vertical="center" wrapText="1"/>
    </xf>
    <xf numFmtId="164" fontId="113" fillId="67" borderId="113" xfId="60" applyNumberFormat="1" applyFont="1" applyFill="1" applyBorder="1" applyAlignment="1">
      <alignment vertical="center" wrapText="1"/>
    </xf>
    <xf numFmtId="164" fontId="113" fillId="67" borderId="112" xfId="60" applyNumberFormat="1" applyFont="1" applyFill="1" applyBorder="1" applyAlignment="1">
      <alignment vertical="center" wrapText="1"/>
    </xf>
    <xf numFmtId="168" fontId="113" fillId="67" borderId="112" xfId="60" applyNumberFormat="1" applyFont="1" applyFill="1" applyBorder="1" applyAlignment="1">
      <alignment vertical="center" wrapText="1"/>
    </xf>
    <xf numFmtId="0" fontId="113" fillId="79" borderId="113" xfId="60" applyNumberFormat="1" applyFont="1" applyFill="1" applyBorder="1" applyAlignment="1">
      <alignment horizontal="center" vertical="center" wrapText="1"/>
    </xf>
    <xf numFmtId="0" fontId="113" fillId="79" borderId="113" xfId="60" applyNumberFormat="1" applyFont="1" applyFill="1" applyBorder="1" applyAlignment="1">
      <alignment horizontal="left" vertical="center" wrapText="1"/>
    </xf>
    <xf numFmtId="164" fontId="113" fillId="79" borderId="113" xfId="60" applyNumberFormat="1" applyFont="1" applyFill="1" applyBorder="1" applyAlignment="1">
      <alignment vertical="center" wrapText="1"/>
    </xf>
    <xf numFmtId="164" fontId="113" fillId="79" borderId="112" xfId="60" applyNumberFormat="1" applyFont="1" applyFill="1" applyBorder="1" applyAlignment="1">
      <alignment vertical="center" wrapText="1"/>
    </xf>
    <xf numFmtId="0" fontId="113" fillId="79" borderId="128" xfId="60" applyNumberFormat="1" applyFont="1" applyFill="1" applyBorder="1" applyAlignment="1">
      <alignment horizontal="center" vertical="center" wrapText="1"/>
    </xf>
    <xf numFmtId="0" fontId="113" fillId="79" borderId="128" xfId="60" applyNumberFormat="1" applyFont="1" applyFill="1" applyBorder="1" applyAlignment="1">
      <alignment horizontal="left" vertical="center" wrapText="1"/>
    </xf>
    <xf numFmtId="164" fontId="113" fillId="79" borderId="128" xfId="60" applyNumberFormat="1" applyFont="1" applyFill="1" applyBorder="1" applyAlignment="1">
      <alignment vertical="center" wrapText="1"/>
    </xf>
    <xf numFmtId="164" fontId="113" fillId="79" borderId="130" xfId="60" applyNumberFormat="1" applyFont="1" applyFill="1" applyBorder="1" applyAlignment="1">
      <alignment vertical="center" wrapText="1"/>
    </xf>
    <xf numFmtId="0" fontId="113" fillId="80" borderId="112" xfId="60" applyNumberFormat="1" applyFont="1" applyFill="1" applyBorder="1" applyAlignment="1">
      <alignment horizontal="center" vertical="center" wrapText="1"/>
    </xf>
    <xf numFmtId="168" fontId="113" fillId="80" borderId="112" xfId="60" applyNumberFormat="1" applyFont="1" applyFill="1" applyBorder="1" applyAlignment="1">
      <alignment vertical="center" wrapText="1"/>
    </xf>
    <xf numFmtId="0" fontId="113" fillId="80" borderId="112" xfId="60" applyNumberFormat="1" applyFont="1" applyFill="1" applyBorder="1" applyAlignment="1">
      <alignment vertical="center" wrapText="1"/>
    </xf>
    <xf numFmtId="0" fontId="113" fillId="80" borderId="130" xfId="60" applyNumberFormat="1" applyFont="1" applyFill="1" applyBorder="1" applyAlignment="1">
      <alignment horizontal="center" vertical="center" wrapText="1"/>
    </xf>
    <xf numFmtId="168" fontId="113" fillId="80" borderId="130" xfId="60" applyNumberFormat="1" applyFont="1" applyFill="1" applyBorder="1" applyAlignment="1">
      <alignment vertical="center" wrapText="1"/>
    </xf>
    <xf numFmtId="0" fontId="113" fillId="80" borderId="130" xfId="60" applyNumberFormat="1" applyFont="1" applyFill="1" applyBorder="1" applyAlignment="1">
      <alignment vertical="center" wrapText="1"/>
    </xf>
    <xf numFmtId="0" fontId="113" fillId="81" borderId="112" xfId="60" applyNumberFormat="1" applyFont="1" applyFill="1" applyBorder="1" applyAlignment="1">
      <alignment vertical="center" wrapText="1"/>
    </xf>
    <xf numFmtId="0" fontId="114" fillId="81" borderId="112" xfId="60" applyNumberFormat="1" applyFont="1" applyFill="1" applyBorder="1" applyAlignment="1">
      <alignment vertical="center" wrapText="1"/>
    </xf>
    <xf numFmtId="0" fontId="114" fillId="81" borderId="131" xfId="60" applyNumberFormat="1" applyFont="1" applyFill="1" applyBorder="1" applyAlignment="1">
      <alignment vertical="center" wrapText="1"/>
    </xf>
    <xf numFmtId="0" fontId="114" fillId="81" borderId="131" xfId="60" applyNumberFormat="1" applyFont="1" applyFill="1" applyBorder="1" applyAlignment="1">
      <alignment horizontal="center" vertical="center" wrapText="1"/>
    </xf>
    <xf numFmtId="0" fontId="120" fillId="79" borderId="128" xfId="60" applyNumberFormat="1" applyFont="1" applyFill="1" applyBorder="1" applyAlignment="1">
      <alignment horizontal="center" vertical="center" wrapText="1"/>
    </xf>
    <xf numFmtId="0" fontId="120" fillId="79" borderId="128" xfId="60" applyNumberFormat="1" applyFont="1" applyFill="1" applyBorder="1" applyAlignment="1">
      <alignment horizontal="right" vertical="center" wrapText="1"/>
    </xf>
    <xf numFmtId="164" fontId="119" fillId="79" borderId="128" xfId="60" applyNumberFormat="1" applyFont="1" applyFill="1" applyBorder="1" applyAlignment="1">
      <alignment vertical="center" wrapText="1"/>
    </xf>
    <xf numFmtId="164" fontId="119" fillId="79" borderId="128" xfId="60" applyNumberFormat="1" applyFont="1" applyFill="1" applyBorder="1" applyAlignment="1">
      <alignment horizontal="right" vertical="center" wrapText="1"/>
    </xf>
    <xf numFmtId="164" fontId="113" fillId="79" borderId="130" xfId="60" applyNumberFormat="1" applyFont="1" applyFill="1" applyBorder="1" applyAlignment="1">
      <alignment horizontal="right" vertical="center" wrapText="1"/>
    </xf>
    <xf numFmtId="0" fontId="113" fillId="80" borderId="130" xfId="60" applyNumberFormat="1" applyFont="1" applyFill="1" applyBorder="1" applyAlignment="1">
      <alignment horizontal="right" vertical="center" wrapText="1"/>
    </xf>
    <xf numFmtId="165" fontId="111" fillId="67" borderId="113" xfId="60" applyNumberFormat="1" applyFont="1" applyFill="1" applyBorder="1" applyAlignment="1">
      <alignment horizontal="center" vertical="center"/>
    </xf>
    <xf numFmtId="165" fontId="113" fillId="67" borderId="113" xfId="60" applyNumberFormat="1" applyFont="1" applyFill="1" applyBorder="1" applyAlignment="1">
      <alignment horizontal="left" vertical="center"/>
    </xf>
    <xf numFmtId="165" fontId="113" fillId="67" borderId="113" xfId="60" applyNumberFormat="1" applyFont="1" applyFill="1" applyBorder="1" applyAlignment="1">
      <alignment horizontal="center" vertical="center"/>
    </xf>
    <xf numFmtId="165" fontId="111" fillId="67" borderId="114" xfId="60" applyNumberFormat="1" applyFont="1" applyFill="1" applyBorder="1" applyAlignment="1">
      <alignment horizontal="center" vertical="center"/>
    </xf>
    <xf numFmtId="165" fontId="111" fillId="67" borderId="127" xfId="60" applyNumberFormat="1" applyFont="1" applyFill="1" applyBorder="1" applyAlignment="1">
      <alignment horizontal="center" vertical="center"/>
    </xf>
    <xf numFmtId="165" fontId="111" fillId="67" borderId="119" xfId="60" applyNumberFormat="1" applyFont="1" applyFill="1" applyBorder="1" applyAlignment="1">
      <alignment horizontal="center" vertical="center"/>
    </xf>
    <xf numFmtId="165" fontId="111" fillId="67" borderId="113" xfId="60" applyNumberFormat="1" applyFont="1" applyFill="1" applyBorder="1" applyAlignment="1">
      <alignment horizontal="center" vertical="center" wrapText="1"/>
    </xf>
    <xf numFmtId="165" fontId="111" fillId="67" borderId="114" xfId="60" applyNumberFormat="1" applyFont="1" applyFill="1" applyBorder="1" applyAlignment="1">
      <alignment horizontal="center" vertical="center" wrapText="1"/>
    </xf>
    <xf numFmtId="165" fontId="111" fillId="67" borderId="127" xfId="60" applyNumberFormat="1" applyFont="1" applyFill="1" applyBorder="1" applyAlignment="1">
      <alignment horizontal="center" vertical="center" wrapText="1"/>
    </xf>
    <xf numFmtId="165" fontId="111" fillId="67" borderId="119" xfId="60" applyNumberFormat="1" applyFont="1" applyFill="1" applyBorder="1" applyAlignment="1">
      <alignment horizontal="center" vertical="center" wrapText="1"/>
    </xf>
    <xf numFmtId="165" fontId="111" fillId="79" borderId="113" xfId="60" applyNumberFormat="1" applyFont="1" applyFill="1" applyBorder="1" applyAlignment="1">
      <alignment horizontal="center" vertical="center" wrapText="1"/>
    </xf>
    <xf numFmtId="165" fontId="111" fillId="79" borderId="128" xfId="60" applyNumberFormat="1" applyFont="1" applyFill="1" applyBorder="1" applyAlignment="1">
      <alignment horizontal="center" vertical="center" wrapText="1"/>
    </xf>
    <xf numFmtId="0" fontId="113" fillId="80" borderId="113" xfId="60" applyNumberFormat="1" applyFont="1" applyFill="1" applyBorder="1" applyAlignment="1">
      <alignment horizontal="center" vertical="center" wrapText="1"/>
    </xf>
    <xf numFmtId="0" fontId="113" fillId="80" borderId="128" xfId="60" applyNumberFormat="1" applyFont="1" applyFill="1" applyBorder="1" applyAlignment="1">
      <alignment horizontal="center" vertical="center" wrapText="1"/>
    </xf>
    <xf numFmtId="165" fontId="111" fillId="80" borderId="114" xfId="60" applyNumberFormat="1" applyFont="1" applyFill="1" applyBorder="1" applyAlignment="1">
      <alignment horizontal="center" vertical="center" wrapText="1"/>
    </xf>
    <xf numFmtId="165" fontId="111" fillId="80" borderId="127" xfId="60" applyNumberFormat="1" applyFont="1" applyFill="1" applyBorder="1" applyAlignment="1">
      <alignment horizontal="center" vertical="center" wrapText="1"/>
    </xf>
    <xf numFmtId="165" fontId="111" fillId="80" borderId="119" xfId="60" applyNumberFormat="1" applyFont="1" applyFill="1" applyBorder="1" applyAlignment="1">
      <alignment horizontal="center" vertical="center" wrapText="1"/>
    </xf>
    <xf numFmtId="165" fontId="111" fillId="80" borderId="133" xfId="60" applyNumberFormat="1" applyFont="1" applyFill="1" applyBorder="1" applyAlignment="1">
      <alignment horizontal="center" vertical="center" wrapText="1"/>
    </xf>
    <xf numFmtId="165" fontId="111" fillId="80" borderId="134" xfId="60" applyNumberFormat="1" applyFont="1" applyFill="1" applyBorder="1" applyAlignment="1">
      <alignment horizontal="center" vertical="center" wrapText="1"/>
    </xf>
    <xf numFmtId="165" fontId="111" fillId="80" borderId="135" xfId="60" applyNumberFormat="1" applyFont="1" applyFill="1" applyBorder="1" applyAlignment="1">
      <alignment horizontal="center" vertical="center" wrapText="1"/>
    </xf>
    <xf numFmtId="0" fontId="111" fillId="70" borderId="115" xfId="60" applyNumberFormat="1" applyFont="1" applyFill="1" applyBorder="1" applyAlignment="1">
      <alignment horizontal="center"/>
    </xf>
    <xf numFmtId="165" fontId="111" fillId="70" borderId="116" xfId="60" applyNumberFormat="1" applyFont="1" applyFill="1" applyBorder="1" applyAlignment="1">
      <alignment horizontal="center"/>
    </xf>
    <xf numFmtId="165" fontId="111" fillId="70" borderId="116" xfId="60" applyNumberFormat="1" applyFont="1" applyFill="1" applyBorder="1" applyAlignment="1">
      <alignment wrapText="1"/>
    </xf>
    <xf numFmtId="165" fontId="113" fillId="70" borderId="116" xfId="60" applyNumberFormat="1" applyFont="1" applyFill="1" applyBorder="1" applyAlignment="1">
      <alignment horizontal="left" wrapText="1"/>
    </xf>
    <xf numFmtId="165" fontId="113" fillId="70" borderId="116" xfId="60" applyNumberFormat="1" applyFont="1" applyFill="1" applyBorder="1" applyAlignment="1">
      <alignment horizontal="center"/>
    </xf>
    <xf numFmtId="165" fontId="113" fillId="70" borderId="116" xfId="60" applyNumberFormat="1" applyFont="1" applyFill="1" applyBorder="1" applyAlignment="1">
      <alignment horizontal="center" wrapText="1"/>
    </xf>
    <xf numFmtId="0" fontId="113" fillId="70" borderId="116" xfId="60" applyNumberFormat="1" applyFont="1" applyFill="1" applyBorder="1" applyAlignment="1">
      <alignment horizontal="center"/>
    </xf>
    <xf numFmtId="164" fontId="113" fillId="70" borderId="116" xfId="60" applyNumberFormat="1" applyFont="1" applyFill="1" applyBorder="1"/>
    <xf numFmtId="165" fontId="111" fillId="70" borderId="113" xfId="60" applyNumberFormat="1" applyFont="1" applyFill="1" applyBorder="1"/>
    <xf numFmtId="10" fontId="111" fillId="70" borderId="113" xfId="60" applyNumberFormat="1" applyFont="1" applyFill="1" applyBorder="1" applyAlignment="1">
      <alignment horizontal="center"/>
    </xf>
    <xf numFmtId="164" fontId="111" fillId="70" borderId="113" xfId="60" applyNumberFormat="1" applyFont="1" applyFill="1" applyBorder="1"/>
    <xf numFmtId="165" fontId="113" fillId="67" borderId="112" xfId="60" applyNumberFormat="1" applyFont="1" applyFill="1" applyBorder="1"/>
    <xf numFmtId="0" fontId="113" fillId="67" borderId="113" xfId="60" applyNumberFormat="1" applyFont="1" applyFill="1" applyBorder="1" applyAlignment="1">
      <alignment horizontal="center" wrapText="1"/>
    </xf>
    <xf numFmtId="164" fontId="111" fillId="67" borderId="118" xfId="60" applyNumberFormat="1" applyFont="1" applyFill="1" applyBorder="1" applyAlignment="1">
      <alignment wrapText="1"/>
    </xf>
    <xf numFmtId="165" fontId="113" fillId="67" borderId="117" xfId="60" applyNumberFormat="1" applyFont="1" applyFill="1" applyBorder="1" applyAlignment="1">
      <alignment horizontal="left" wrapText="1"/>
    </xf>
    <xf numFmtId="164" fontId="113" fillId="67" borderId="117" xfId="60" applyNumberFormat="1" applyFont="1" applyFill="1" applyBorder="1" applyAlignment="1">
      <alignment horizontal="center"/>
    </xf>
    <xf numFmtId="10" fontId="113" fillId="67" borderId="120" xfId="60" applyNumberFormat="1" applyFont="1" applyFill="1" applyBorder="1" applyAlignment="1">
      <alignment horizontal="center" vertical="center" wrapText="1"/>
    </xf>
    <xf numFmtId="10" fontId="112" fillId="67" borderId="121" xfId="60" applyNumberFormat="1" applyFont="1" applyFill="1" applyBorder="1" applyAlignment="1">
      <alignment horizontal="center" vertical="center"/>
    </xf>
    <xf numFmtId="9" fontId="113" fillId="67" borderId="117" xfId="60" applyNumberFormat="1" applyFont="1" applyFill="1" applyBorder="1" applyAlignment="1">
      <alignment horizontal="center"/>
    </xf>
    <xf numFmtId="9" fontId="113" fillId="67" borderId="113" xfId="60" applyNumberFormat="1" applyFont="1" applyFill="1" applyBorder="1" applyAlignment="1">
      <alignment horizontal="center"/>
    </xf>
    <xf numFmtId="10" fontId="112" fillId="67" borderId="122" xfId="60" applyNumberFormat="1" applyFont="1" applyFill="1" applyBorder="1" applyAlignment="1">
      <alignment horizontal="center" vertical="center"/>
    </xf>
    <xf numFmtId="10" fontId="112" fillId="67" borderId="123" xfId="60" applyNumberFormat="1" applyFont="1" applyFill="1" applyBorder="1" applyAlignment="1">
      <alignment horizontal="center" vertical="center"/>
    </xf>
    <xf numFmtId="2" fontId="113" fillId="67" borderId="113" xfId="60" applyNumberFormat="1" applyFont="1" applyFill="1" applyBorder="1" applyAlignment="1">
      <alignment wrapText="1"/>
    </xf>
    <xf numFmtId="165" fontId="113" fillId="67" borderId="117" xfId="60" applyNumberFormat="1" applyFont="1" applyFill="1" applyBorder="1" applyAlignment="1">
      <alignment horizontal="center"/>
    </xf>
    <xf numFmtId="10" fontId="112" fillId="67" borderId="118" xfId="60" applyNumberFormat="1" applyFont="1" applyFill="1" applyBorder="1" applyAlignment="1">
      <alignment horizontal="center" vertical="center"/>
    </xf>
    <xf numFmtId="10" fontId="112" fillId="67" borderId="124" xfId="60" applyNumberFormat="1" applyFont="1" applyFill="1" applyBorder="1" applyAlignment="1">
      <alignment horizontal="center" vertical="center"/>
    </xf>
    <xf numFmtId="165" fontId="113" fillId="67" borderId="125" xfId="60" applyNumberFormat="1" applyFont="1" applyFill="1" applyBorder="1" applyAlignment="1">
      <alignment wrapText="1"/>
    </xf>
    <xf numFmtId="10" fontId="113" fillId="67" borderId="114" xfId="60" applyNumberFormat="1" applyFont="1" applyFill="1" applyBorder="1" applyAlignment="1">
      <alignment horizontal="center" vertical="center"/>
    </xf>
    <xf numFmtId="10" fontId="112" fillId="67" borderId="119" xfId="60" applyNumberFormat="1" applyFont="1" applyFill="1" applyBorder="1" applyAlignment="1">
      <alignment horizontal="center" vertical="center"/>
    </xf>
    <xf numFmtId="0" fontId="111" fillId="74" borderId="113" xfId="60" applyNumberFormat="1" applyFont="1" applyFill="1" applyBorder="1" applyAlignment="1">
      <alignment horizontal="center"/>
    </xf>
    <xf numFmtId="165" fontId="111" fillId="74" borderId="113" xfId="60" applyNumberFormat="1" applyFont="1" applyFill="1" applyBorder="1" applyAlignment="1">
      <alignment horizontal="center"/>
    </xf>
    <xf numFmtId="165" fontId="111" fillId="74" borderId="113" xfId="60" applyNumberFormat="1" applyFont="1" applyFill="1" applyBorder="1" applyAlignment="1">
      <alignment horizontal="center" wrapText="1"/>
    </xf>
    <xf numFmtId="167" fontId="111" fillId="74" borderId="113" xfId="60" applyNumberFormat="1" applyFont="1" applyFill="1" applyBorder="1" applyAlignment="1">
      <alignment horizontal="center"/>
    </xf>
    <xf numFmtId="9" fontId="111" fillId="74" borderId="113" xfId="60" applyNumberFormat="1" applyFont="1" applyFill="1" applyBorder="1" applyAlignment="1">
      <alignment horizontal="center"/>
    </xf>
    <xf numFmtId="0" fontId="111" fillId="73" borderId="117" xfId="60" applyNumberFormat="1" applyFont="1" applyFill="1" applyBorder="1" applyAlignment="1">
      <alignment horizontal="center"/>
    </xf>
    <xf numFmtId="165" fontId="111" fillId="67" borderId="117" xfId="60" applyNumberFormat="1" applyFont="1" applyFill="1" applyBorder="1" applyAlignment="1">
      <alignment horizontal="center"/>
    </xf>
    <xf numFmtId="165" fontId="113" fillId="67" borderId="113" xfId="60" applyNumberFormat="1" applyFont="1" applyFill="1" applyBorder="1" applyAlignment="1">
      <alignment horizontal="center"/>
    </xf>
    <xf numFmtId="49" fontId="113" fillId="67" borderId="113" xfId="60" applyNumberFormat="1" applyFont="1" applyFill="1" applyBorder="1" applyAlignment="1">
      <alignment horizontal="center"/>
    </xf>
    <xf numFmtId="0" fontId="113" fillId="67" borderId="113" xfId="60" applyNumberFormat="1" applyFont="1" applyFill="1" applyBorder="1" applyAlignment="1">
      <alignment horizontal="center"/>
    </xf>
    <xf numFmtId="9" fontId="112" fillId="69" borderId="113" xfId="60" applyNumberFormat="1" applyFont="1" applyFill="1" applyBorder="1" applyAlignment="1">
      <alignment horizontal="center"/>
    </xf>
    <xf numFmtId="0" fontId="113" fillId="75" borderId="117" xfId="60" applyNumberFormat="1" applyFont="1" applyFill="1" applyBorder="1" applyAlignment="1">
      <alignment horizontal="center"/>
    </xf>
    <xf numFmtId="165" fontId="113" fillId="73" borderId="117" xfId="60" applyNumberFormat="1" applyFont="1" applyFill="1" applyBorder="1" applyAlignment="1">
      <alignment horizontal="center"/>
    </xf>
    <xf numFmtId="165" fontId="113" fillId="73" borderId="113" xfId="60" applyNumberFormat="1" applyFont="1" applyFill="1" applyBorder="1" applyAlignment="1">
      <alignment vertical="center" wrapText="1"/>
    </xf>
    <xf numFmtId="49" fontId="113" fillId="67" borderId="113" xfId="60" applyNumberFormat="1" applyFont="1" applyFill="1" applyBorder="1"/>
    <xf numFmtId="0" fontId="113" fillId="73" borderId="113" xfId="60" applyNumberFormat="1" applyFont="1" applyFill="1" applyBorder="1" applyAlignment="1">
      <alignment horizontal="center"/>
    </xf>
    <xf numFmtId="165" fontId="112" fillId="73" borderId="113" xfId="60" applyNumberFormat="1" applyFont="1" applyFill="1" applyBorder="1"/>
    <xf numFmtId="49" fontId="113" fillId="67" borderId="113" xfId="60" applyNumberFormat="1" applyFont="1" applyFill="1" applyBorder="1" applyAlignment="1">
      <alignment horizontal="center" vertical="center"/>
    </xf>
    <xf numFmtId="0" fontId="113" fillId="73" borderId="113" xfId="60" applyNumberFormat="1" applyFont="1" applyFill="1" applyBorder="1" applyAlignment="1">
      <alignment horizontal="center" vertical="center"/>
    </xf>
    <xf numFmtId="0" fontId="113" fillId="75" borderId="117" xfId="60" applyNumberFormat="1" applyFont="1" applyFill="1" applyBorder="1" applyAlignment="1">
      <alignment horizontal="center" vertical="center"/>
    </xf>
    <xf numFmtId="165" fontId="113" fillId="73" borderId="117" xfId="60" applyNumberFormat="1" applyFont="1" applyFill="1" applyBorder="1" applyAlignment="1">
      <alignment horizontal="center" vertical="center"/>
    </xf>
    <xf numFmtId="165" fontId="112" fillId="67" borderId="113" xfId="60" applyNumberFormat="1" applyFont="1" applyFill="1" applyBorder="1" applyAlignment="1">
      <alignment vertical="center"/>
    </xf>
    <xf numFmtId="9" fontId="112" fillId="69" borderId="113" xfId="60" applyNumberFormat="1" applyFont="1" applyFill="1" applyBorder="1" applyAlignment="1">
      <alignment horizontal="center" vertical="center"/>
    </xf>
    <xf numFmtId="165" fontId="112" fillId="73" borderId="113" xfId="60" applyNumberFormat="1" applyFont="1" applyFill="1" applyBorder="1" applyAlignment="1">
      <alignment vertical="center"/>
    </xf>
    <xf numFmtId="165" fontId="113" fillId="67" borderId="112" xfId="60" applyNumberFormat="1" applyFont="1" applyFill="1" applyBorder="1" applyAlignment="1">
      <alignment vertical="center"/>
    </xf>
    <xf numFmtId="0" fontId="113" fillId="73" borderId="117" xfId="60" applyNumberFormat="1" applyFont="1" applyFill="1" applyBorder="1" applyAlignment="1">
      <alignment horizontal="center"/>
    </xf>
    <xf numFmtId="165" fontId="113" fillId="73" borderId="113" xfId="60" applyNumberFormat="1" applyFont="1" applyFill="1" applyBorder="1"/>
    <xf numFmtId="0" fontId="111" fillId="75" borderId="117" xfId="60" applyNumberFormat="1" applyFont="1" applyFill="1" applyBorder="1" applyAlignment="1">
      <alignment horizontal="center"/>
    </xf>
    <xf numFmtId="165" fontId="111" fillId="67" borderId="118" xfId="60" applyNumberFormat="1" applyFont="1" applyFill="1" applyBorder="1" applyAlignment="1">
      <alignment wrapText="1"/>
    </xf>
    <xf numFmtId="165" fontId="113" fillId="73" borderId="113" xfId="60" applyNumberFormat="1" applyFont="1" applyFill="1" applyBorder="1" applyAlignment="1">
      <alignment horizontal="left" wrapText="1"/>
    </xf>
    <xf numFmtId="165" fontId="113" fillId="73" borderId="113" xfId="60" applyNumberFormat="1" applyFont="1" applyFill="1" applyBorder="1" applyAlignment="1">
      <alignment horizontal="center"/>
    </xf>
    <xf numFmtId="165" fontId="113" fillId="73" borderId="113" xfId="60" applyNumberFormat="1" applyFont="1" applyFill="1" applyBorder="1" applyAlignment="1">
      <alignment horizontal="center" wrapText="1"/>
    </xf>
    <xf numFmtId="165" fontId="113" fillId="67" borderId="113" xfId="60" applyNumberFormat="1" applyFont="1" applyFill="1" applyBorder="1" applyAlignment="1">
      <alignment horizontal="center" wrapText="1"/>
    </xf>
    <xf numFmtId="165" fontId="113" fillId="73" borderId="118" xfId="60" applyNumberFormat="1" applyFont="1" applyFill="1" applyBorder="1" applyAlignment="1">
      <alignment horizontal="left" wrapText="1"/>
    </xf>
    <xf numFmtId="0" fontId="113" fillId="73" borderId="117" xfId="60" applyNumberFormat="1" applyFont="1" applyFill="1" applyBorder="1" applyAlignment="1">
      <alignment horizontal="center" vertical="center"/>
    </xf>
    <xf numFmtId="165" fontId="113" fillId="67" borderId="117" xfId="60" applyNumberFormat="1" applyFont="1" applyFill="1" applyBorder="1" applyAlignment="1">
      <alignment horizontal="center" vertical="center"/>
    </xf>
    <xf numFmtId="165" fontId="113" fillId="67" borderId="114" xfId="60" applyNumberFormat="1" applyFont="1" applyFill="1" applyBorder="1" applyAlignment="1">
      <alignment horizontal="center" vertical="center" wrapText="1"/>
    </xf>
    <xf numFmtId="165" fontId="113" fillId="67" borderId="114" xfId="60" applyNumberFormat="1" applyFont="1" applyFill="1" applyBorder="1" applyAlignment="1">
      <alignment horizontal="center" wrapText="1"/>
    </xf>
    <xf numFmtId="165" fontId="111" fillId="67" borderId="112" xfId="60" applyNumberFormat="1" applyFont="1" applyFill="1" applyBorder="1" applyAlignment="1">
      <alignment wrapText="1"/>
    </xf>
    <xf numFmtId="165" fontId="111" fillId="73" borderId="113" xfId="60" applyNumberFormat="1" applyFont="1" applyFill="1" applyBorder="1"/>
    <xf numFmtId="49" fontId="113" fillId="73" borderId="113" xfId="60" applyNumberFormat="1" applyFont="1" applyFill="1" applyBorder="1" applyAlignment="1">
      <alignment horizontal="center"/>
    </xf>
    <xf numFmtId="49" fontId="112" fillId="67" borderId="112" xfId="60" applyNumberFormat="1" applyFont="1" applyFill="1" applyBorder="1"/>
    <xf numFmtId="165" fontId="113" fillId="67" borderId="118" xfId="60" applyNumberFormat="1" applyFont="1" applyFill="1" applyBorder="1" applyAlignment="1">
      <alignment wrapText="1"/>
    </xf>
    <xf numFmtId="165" fontId="111" fillId="67" borderId="117" xfId="60" applyNumberFormat="1" applyFont="1" applyFill="1" applyBorder="1" applyAlignment="1">
      <alignment wrapText="1"/>
    </xf>
    <xf numFmtId="165" fontId="113" fillId="67" borderId="117" xfId="60" applyNumberFormat="1" applyFont="1" applyFill="1" applyBorder="1" applyAlignment="1">
      <alignment wrapText="1"/>
    </xf>
    <xf numFmtId="0" fontId="111" fillId="73" borderId="117" xfId="60" applyNumberFormat="1" applyFont="1" applyFill="1" applyBorder="1" applyAlignment="1">
      <alignment horizontal="center" vertical="center"/>
    </xf>
    <xf numFmtId="165" fontId="111" fillId="67" borderId="117" xfId="60" applyNumberFormat="1" applyFont="1" applyFill="1" applyBorder="1" applyAlignment="1">
      <alignment horizontal="center" vertical="center"/>
    </xf>
    <xf numFmtId="49" fontId="113" fillId="67" borderId="113" xfId="60" applyNumberFormat="1" applyFont="1" applyFill="1" applyBorder="1" applyAlignment="1">
      <alignment vertical="center"/>
    </xf>
    <xf numFmtId="164" fontId="112" fillId="67" borderId="112" xfId="60" applyNumberFormat="1" applyFont="1" applyFill="1" applyBorder="1" applyAlignment="1">
      <alignment vertical="center"/>
    </xf>
    <xf numFmtId="165" fontId="111" fillId="73" borderId="113" xfId="60" applyNumberFormat="1" applyFont="1" applyFill="1" applyBorder="1" applyAlignment="1">
      <alignment wrapText="1"/>
    </xf>
    <xf numFmtId="165" fontId="113" fillId="73" borderId="113" xfId="60" applyNumberFormat="1" applyFont="1" applyFill="1" applyBorder="1" applyAlignment="1">
      <alignment wrapText="1"/>
    </xf>
    <xf numFmtId="165" fontId="111" fillId="73" borderId="117" xfId="60" applyNumberFormat="1" applyFont="1" applyFill="1" applyBorder="1" applyAlignment="1">
      <alignment wrapText="1"/>
    </xf>
    <xf numFmtId="0" fontId="111" fillId="73" borderId="113" xfId="60" applyNumberFormat="1" applyFont="1" applyFill="1" applyBorder="1" applyAlignment="1">
      <alignment horizontal="center" wrapText="1"/>
    </xf>
    <xf numFmtId="0" fontId="113" fillId="73" borderId="113" xfId="60" applyNumberFormat="1" applyFont="1" applyFill="1" applyBorder="1" applyAlignment="1">
      <alignment wrapText="1"/>
    </xf>
    <xf numFmtId="165" fontId="111" fillId="67" borderId="113" xfId="60" applyNumberFormat="1" applyFont="1" applyFill="1" applyBorder="1" applyAlignment="1">
      <alignment horizontal="left" wrapText="1"/>
    </xf>
    <xf numFmtId="164" fontId="111" fillId="67" borderId="112" xfId="60" applyNumberFormat="1" applyFont="1" applyFill="1" applyBorder="1"/>
    <xf numFmtId="9" fontId="111" fillId="69" borderId="113" xfId="60" applyNumberFormat="1" applyFont="1" applyFill="1" applyBorder="1" applyAlignment="1">
      <alignment horizontal="center"/>
    </xf>
    <xf numFmtId="0" fontId="113" fillId="75" borderId="113" xfId="60" applyNumberFormat="1" applyFont="1" applyFill="1" applyBorder="1" applyAlignment="1">
      <alignment horizontal="center"/>
    </xf>
    <xf numFmtId="165" fontId="113" fillId="67" borderId="117" xfId="60" applyNumberFormat="1" applyFont="1" applyFill="1" applyBorder="1" applyAlignment="1">
      <alignment horizontal="left"/>
    </xf>
    <xf numFmtId="165" fontId="113" fillId="67" borderId="114" xfId="60" applyNumberFormat="1" applyFont="1" applyFill="1" applyBorder="1" applyAlignment="1">
      <alignment wrapText="1"/>
    </xf>
    <xf numFmtId="165" fontId="113" fillId="75" borderId="114" xfId="60" applyNumberFormat="1" applyFont="1" applyFill="1" applyBorder="1" applyAlignment="1">
      <alignment wrapText="1"/>
    </xf>
    <xf numFmtId="0" fontId="111" fillId="70" borderId="115" xfId="60" applyNumberFormat="1" applyFont="1" applyFill="1" applyBorder="1" applyAlignment="1">
      <alignment horizontal="center" wrapText="1"/>
    </xf>
    <xf numFmtId="165" fontId="111" fillId="70" borderId="116" xfId="60" applyNumberFormat="1" applyFont="1" applyFill="1" applyBorder="1" applyAlignment="1">
      <alignment horizontal="center" wrapText="1"/>
    </xf>
    <xf numFmtId="0" fontId="113" fillId="70" borderId="116" xfId="60" applyNumberFormat="1" applyFont="1" applyFill="1" applyBorder="1" applyAlignment="1">
      <alignment horizontal="center" wrapText="1"/>
    </xf>
    <xf numFmtId="164" fontId="113" fillId="70" borderId="116" xfId="60" applyNumberFormat="1" applyFont="1" applyFill="1" applyBorder="1" applyAlignment="1">
      <alignment wrapText="1"/>
    </xf>
    <xf numFmtId="165" fontId="111" fillId="70" borderId="113" xfId="60" applyNumberFormat="1" applyFont="1" applyFill="1" applyBorder="1" applyAlignment="1">
      <alignment wrapText="1"/>
    </xf>
    <xf numFmtId="10" fontId="111" fillId="70" borderId="113" xfId="60" applyNumberFormat="1" applyFont="1" applyFill="1" applyBorder="1" applyAlignment="1">
      <alignment horizontal="center" wrapText="1"/>
    </xf>
    <xf numFmtId="164" fontId="111" fillId="70" borderId="113" xfId="60" applyNumberFormat="1" applyFont="1" applyFill="1" applyBorder="1" applyAlignment="1">
      <alignment wrapText="1"/>
    </xf>
    <xf numFmtId="165" fontId="113" fillId="67" borderId="112" xfId="60" applyNumberFormat="1" applyFont="1" applyFill="1" applyBorder="1" applyAlignment="1">
      <alignment wrapText="1"/>
    </xf>
    <xf numFmtId="164" fontId="113" fillId="67" borderId="117" xfId="60" applyNumberFormat="1" applyFont="1" applyFill="1" applyBorder="1" applyAlignment="1">
      <alignment horizontal="center" wrapText="1"/>
    </xf>
    <xf numFmtId="10" fontId="112" fillId="67" borderId="121" xfId="60" applyNumberFormat="1" applyFont="1" applyFill="1" applyBorder="1" applyAlignment="1">
      <alignment horizontal="center" vertical="center" wrapText="1"/>
    </xf>
    <xf numFmtId="9" fontId="113" fillId="67" borderId="117" xfId="60" applyNumberFormat="1" applyFont="1" applyFill="1" applyBorder="1" applyAlignment="1">
      <alignment horizontal="center" wrapText="1"/>
    </xf>
    <xf numFmtId="9" fontId="113" fillId="67" borderId="113" xfId="60" applyNumberFormat="1" applyFont="1" applyFill="1" applyBorder="1" applyAlignment="1">
      <alignment horizontal="center" wrapText="1"/>
    </xf>
    <xf numFmtId="10" fontId="112" fillId="67" borderId="122" xfId="60" applyNumberFormat="1" applyFont="1" applyFill="1" applyBorder="1" applyAlignment="1">
      <alignment horizontal="center" vertical="center" wrapText="1"/>
    </xf>
    <xf numFmtId="10" fontId="112" fillId="67" borderId="123" xfId="60" applyNumberFormat="1" applyFont="1" applyFill="1" applyBorder="1" applyAlignment="1">
      <alignment horizontal="center" vertical="center" wrapText="1"/>
    </xf>
    <xf numFmtId="165" fontId="113" fillId="67" borderId="117" xfId="60" applyNumberFormat="1" applyFont="1" applyFill="1" applyBorder="1" applyAlignment="1">
      <alignment horizontal="center" wrapText="1"/>
    </xf>
    <xf numFmtId="10" fontId="112" fillId="67" borderId="118" xfId="60" applyNumberFormat="1" applyFont="1" applyFill="1" applyBorder="1" applyAlignment="1">
      <alignment horizontal="center" vertical="center" wrapText="1"/>
    </xf>
    <xf numFmtId="10" fontId="112" fillId="67" borderId="124" xfId="60" applyNumberFormat="1" applyFont="1" applyFill="1" applyBorder="1" applyAlignment="1">
      <alignment horizontal="center" vertical="center" wrapText="1"/>
    </xf>
    <xf numFmtId="10" fontId="113" fillId="67" borderId="114" xfId="60" applyNumberFormat="1" applyFont="1" applyFill="1" applyBorder="1" applyAlignment="1">
      <alignment horizontal="center" vertical="center" wrapText="1"/>
    </xf>
    <xf numFmtId="10" fontId="112" fillId="67" borderId="119" xfId="60" applyNumberFormat="1" applyFont="1" applyFill="1" applyBorder="1" applyAlignment="1">
      <alignment horizontal="center" vertical="center" wrapText="1"/>
    </xf>
    <xf numFmtId="0" fontId="111" fillId="74" borderId="113" xfId="60" applyNumberFormat="1" applyFont="1" applyFill="1" applyBorder="1" applyAlignment="1">
      <alignment horizontal="center" wrapText="1"/>
    </xf>
    <xf numFmtId="167" fontId="111" fillId="74" borderId="113" xfId="60" applyNumberFormat="1" applyFont="1" applyFill="1" applyBorder="1" applyAlignment="1">
      <alignment horizontal="center" wrapText="1"/>
    </xf>
    <xf numFmtId="9" fontId="111" fillId="74" borderId="113" xfId="60" applyNumberFormat="1" applyFont="1" applyFill="1" applyBorder="1" applyAlignment="1">
      <alignment horizontal="center" wrapText="1"/>
    </xf>
    <xf numFmtId="0" fontId="111" fillId="73" borderId="117" xfId="60" applyNumberFormat="1" applyFont="1" applyFill="1" applyBorder="1" applyAlignment="1">
      <alignment horizontal="center" wrapText="1"/>
    </xf>
    <xf numFmtId="165" fontId="111" fillId="67" borderId="117" xfId="60" applyNumberFormat="1" applyFont="1" applyFill="1" applyBorder="1" applyAlignment="1">
      <alignment horizontal="center" wrapText="1"/>
    </xf>
    <xf numFmtId="49" fontId="113" fillId="67" borderId="113" xfId="60" applyNumberFormat="1" applyFont="1" applyFill="1" applyBorder="1" applyAlignment="1">
      <alignment horizontal="center" wrapText="1"/>
    </xf>
    <xf numFmtId="9" fontId="112" fillId="69" borderId="113" xfId="60" applyNumberFormat="1" applyFont="1" applyFill="1" applyBorder="1" applyAlignment="1">
      <alignment horizontal="center" wrapText="1"/>
    </xf>
    <xf numFmtId="0" fontId="113" fillId="75" borderId="117" xfId="60" applyNumberFormat="1" applyFont="1" applyFill="1" applyBorder="1" applyAlignment="1">
      <alignment horizontal="center" wrapText="1"/>
    </xf>
    <xf numFmtId="165" fontId="113" fillId="73" borderId="117" xfId="60" applyNumberFormat="1" applyFont="1" applyFill="1" applyBorder="1" applyAlignment="1">
      <alignment horizontal="center" wrapText="1"/>
    </xf>
    <xf numFmtId="49" fontId="113" fillId="67" borderId="113" xfId="60" applyNumberFormat="1" applyFont="1" applyFill="1" applyBorder="1" applyAlignment="1">
      <alignment wrapText="1"/>
    </xf>
    <xf numFmtId="0" fontId="113" fillId="73" borderId="113" xfId="60" applyNumberFormat="1" applyFont="1" applyFill="1" applyBorder="1" applyAlignment="1">
      <alignment horizontal="center" wrapText="1"/>
    </xf>
    <xf numFmtId="165" fontId="112" fillId="73" borderId="113" xfId="60" applyNumberFormat="1" applyFont="1" applyFill="1" applyBorder="1" applyAlignment="1">
      <alignment wrapText="1"/>
    </xf>
    <xf numFmtId="49" fontId="113" fillId="67" borderId="113" xfId="60" applyNumberFormat="1" applyFont="1" applyFill="1" applyBorder="1" applyAlignment="1">
      <alignment horizontal="center" vertical="center" wrapText="1"/>
    </xf>
    <xf numFmtId="0" fontId="113" fillId="73" borderId="113" xfId="60" applyNumberFormat="1" applyFont="1" applyFill="1" applyBorder="1" applyAlignment="1">
      <alignment horizontal="center" vertical="center" wrapText="1"/>
    </xf>
    <xf numFmtId="0" fontId="113" fillId="75" borderId="117" xfId="60" applyNumberFormat="1" applyFont="1" applyFill="1" applyBorder="1" applyAlignment="1">
      <alignment horizontal="center" vertical="center" wrapText="1"/>
    </xf>
    <xf numFmtId="165" fontId="113" fillId="73" borderId="117" xfId="60" applyNumberFormat="1" applyFont="1" applyFill="1" applyBorder="1" applyAlignment="1">
      <alignment horizontal="center" vertical="center" wrapText="1"/>
    </xf>
    <xf numFmtId="9" fontId="112" fillId="69" borderId="113" xfId="60" applyNumberFormat="1" applyFont="1" applyFill="1" applyBorder="1" applyAlignment="1">
      <alignment horizontal="center" vertical="center" wrapText="1"/>
    </xf>
    <xf numFmtId="165" fontId="112" fillId="73" borderId="113" xfId="60" applyNumberFormat="1" applyFont="1" applyFill="1" applyBorder="1" applyAlignment="1">
      <alignment vertical="center" wrapText="1"/>
    </xf>
    <xf numFmtId="165" fontId="113" fillId="67" borderId="112" xfId="60" applyNumberFormat="1" applyFont="1" applyFill="1" applyBorder="1" applyAlignment="1">
      <alignment vertical="center" wrapText="1"/>
    </xf>
    <xf numFmtId="0" fontId="113" fillId="73" borderId="117" xfId="60" applyNumberFormat="1" applyFont="1" applyFill="1" applyBorder="1" applyAlignment="1">
      <alignment horizontal="center" wrapText="1"/>
    </xf>
    <xf numFmtId="0" fontId="111" fillId="75" borderId="117" xfId="60" applyNumberFormat="1" applyFont="1" applyFill="1" applyBorder="1" applyAlignment="1">
      <alignment horizontal="center" wrapText="1"/>
    </xf>
    <xf numFmtId="0" fontId="113" fillId="73" borderId="117" xfId="60" applyNumberFormat="1" applyFont="1" applyFill="1" applyBorder="1" applyAlignment="1">
      <alignment horizontal="center" vertical="center" wrapText="1"/>
    </xf>
    <xf numFmtId="165" fontId="113" fillId="67" borderId="117" xfId="60" applyNumberFormat="1" applyFont="1" applyFill="1" applyBorder="1" applyAlignment="1">
      <alignment horizontal="center" vertical="center" wrapText="1"/>
    </xf>
    <xf numFmtId="49" fontId="113" fillId="73" borderId="113" xfId="60" applyNumberFormat="1" applyFont="1" applyFill="1" applyBorder="1" applyAlignment="1">
      <alignment horizontal="center" wrapText="1"/>
    </xf>
    <xf numFmtId="49" fontId="112" fillId="67" borderId="112" xfId="60" applyNumberFormat="1" applyFont="1" applyFill="1" applyBorder="1" applyAlignment="1">
      <alignment wrapText="1"/>
    </xf>
    <xf numFmtId="0" fontId="111" fillId="73" borderId="117" xfId="60" applyNumberFormat="1" applyFont="1" applyFill="1" applyBorder="1" applyAlignment="1">
      <alignment horizontal="center" vertical="center" wrapText="1"/>
    </xf>
    <xf numFmtId="165" fontId="111" fillId="67" borderId="117" xfId="60" applyNumberFormat="1" applyFont="1" applyFill="1" applyBorder="1" applyAlignment="1">
      <alignment horizontal="center" vertical="center" wrapText="1"/>
    </xf>
    <xf numFmtId="49" fontId="113" fillId="67" borderId="113" xfId="60" applyNumberFormat="1" applyFont="1" applyFill="1" applyBorder="1" applyAlignment="1">
      <alignment vertical="center" wrapText="1"/>
    </xf>
    <xf numFmtId="164" fontId="111" fillId="67" borderId="112" xfId="60" applyNumberFormat="1" applyFont="1" applyFill="1" applyBorder="1" applyAlignment="1">
      <alignment wrapText="1"/>
    </xf>
    <xf numFmtId="9" fontId="111" fillId="69" borderId="113" xfId="60" applyNumberFormat="1" applyFont="1" applyFill="1" applyBorder="1" applyAlignment="1">
      <alignment horizontal="center" wrapText="1"/>
    </xf>
    <xf numFmtId="0" fontId="113" fillId="75" borderId="113" xfId="60" applyNumberFormat="1" applyFont="1" applyFill="1" applyBorder="1" applyAlignment="1">
      <alignment horizontal="center" wrapText="1"/>
    </xf>
    <xf numFmtId="0" fontId="111" fillId="70" borderId="115" xfId="60" applyNumberFormat="1" applyFont="1" applyFill="1" applyBorder="1" applyAlignment="1">
      <alignment horizontal="center" vertical="center" wrapText="1"/>
    </xf>
    <xf numFmtId="165" fontId="111" fillId="70" borderId="116" xfId="60" applyNumberFormat="1" applyFont="1" applyFill="1" applyBorder="1" applyAlignment="1">
      <alignment horizontal="center" vertical="center" wrapText="1"/>
    </xf>
    <xf numFmtId="165" fontId="111" fillId="70" borderId="116" xfId="60" applyNumberFormat="1" applyFont="1" applyFill="1" applyBorder="1" applyAlignment="1">
      <alignment vertical="center" wrapText="1"/>
    </xf>
    <xf numFmtId="165" fontId="113" fillId="70" borderId="116" xfId="60" applyNumberFormat="1" applyFont="1" applyFill="1" applyBorder="1" applyAlignment="1">
      <alignment horizontal="left" vertical="center" wrapText="1"/>
    </xf>
    <xf numFmtId="165" fontId="113" fillId="70" borderId="116" xfId="60" applyNumberFormat="1" applyFont="1" applyFill="1" applyBorder="1" applyAlignment="1">
      <alignment horizontal="center" vertical="center" wrapText="1"/>
    </xf>
    <xf numFmtId="0" fontId="113" fillId="70" borderId="116" xfId="60" applyNumberFormat="1" applyFont="1" applyFill="1" applyBorder="1" applyAlignment="1">
      <alignment horizontal="center" vertical="center" wrapText="1"/>
    </xf>
    <xf numFmtId="164" fontId="113" fillId="70" borderId="116" xfId="60" applyNumberFormat="1" applyFont="1" applyFill="1" applyBorder="1" applyAlignment="1">
      <alignment vertical="center" wrapText="1"/>
    </xf>
    <xf numFmtId="165" fontId="111" fillId="70" borderId="113" xfId="60" applyNumberFormat="1" applyFont="1" applyFill="1" applyBorder="1" applyAlignment="1">
      <alignment vertical="center" wrapText="1"/>
    </xf>
    <xf numFmtId="10" fontId="111" fillId="70" borderId="113" xfId="60" applyNumberFormat="1" applyFont="1" applyFill="1" applyBorder="1" applyAlignment="1">
      <alignment horizontal="center" vertical="center" wrapText="1"/>
    </xf>
    <xf numFmtId="164" fontId="111" fillId="70" borderId="113" xfId="60" applyNumberFormat="1" applyFont="1" applyFill="1" applyBorder="1" applyAlignment="1">
      <alignment vertical="center" wrapText="1"/>
    </xf>
    <xf numFmtId="164" fontId="111" fillId="67" borderId="118" xfId="60" applyNumberFormat="1" applyFont="1" applyFill="1" applyBorder="1" applyAlignment="1">
      <alignment vertical="center" wrapText="1"/>
    </xf>
    <xf numFmtId="165" fontId="113" fillId="67" borderId="117" xfId="60" applyNumberFormat="1" applyFont="1" applyFill="1" applyBorder="1" applyAlignment="1">
      <alignment horizontal="left" vertical="center" wrapText="1"/>
    </xf>
    <xf numFmtId="164" fontId="113" fillId="67" borderId="117" xfId="60" applyNumberFormat="1" applyFont="1" applyFill="1" applyBorder="1" applyAlignment="1">
      <alignment horizontal="center" vertical="center" wrapText="1"/>
    </xf>
    <xf numFmtId="9" fontId="113" fillId="67" borderId="117" xfId="60" applyNumberFormat="1" applyFont="1" applyFill="1" applyBorder="1" applyAlignment="1">
      <alignment horizontal="center" vertical="center" wrapText="1"/>
    </xf>
    <xf numFmtId="9" fontId="113" fillId="67" borderId="113" xfId="60" applyNumberFormat="1" applyFont="1" applyFill="1" applyBorder="1" applyAlignment="1">
      <alignment horizontal="center" vertical="center" wrapText="1"/>
    </xf>
    <xf numFmtId="2" fontId="113" fillId="67" borderId="113" xfId="60" applyNumberFormat="1" applyFont="1" applyFill="1" applyBorder="1" applyAlignment="1">
      <alignment vertical="center" wrapText="1"/>
    </xf>
    <xf numFmtId="165" fontId="113" fillId="67" borderId="125" xfId="60" applyNumberFormat="1" applyFont="1" applyFill="1" applyBorder="1" applyAlignment="1">
      <alignment vertical="center" wrapText="1"/>
    </xf>
    <xf numFmtId="0" fontId="111" fillId="74" borderId="113" xfId="60" applyNumberFormat="1" applyFont="1" applyFill="1" applyBorder="1" applyAlignment="1">
      <alignment horizontal="center" vertical="center" wrapText="1"/>
    </xf>
    <xf numFmtId="165" fontId="111" fillId="74" borderId="113" xfId="60" applyNumberFormat="1" applyFont="1" applyFill="1" applyBorder="1" applyAlignment="1">
      <alignment horizontal="center" vertical="center" wrapText="1"/>
    </xf>
    <xf numFmtId="167" fontId="111" fillId="74" borderId="113" xfId="60" applyNumberFormat="1" applyFont="1" applyFill="1" applyBorder="1" applyAlignment="1">
      <alignment horizontal="center" vertical="center" wrapText="1"/>
    </xf>
    <xf numFmtId="9" fontId="111" fillId="74" borderId="113" xfId="60" applyNumberFormat="1" applyFont="1" applyFill="1" applyBorder="1" applyAlignment="1">
      <alignment horizontal="center" vertical="center" wrapText="1"/>
    </xf>
    <xf numFmtId="0" fontId="111" fillId="75" borderId="117" xfId="60" applyNumberFormat="1" applyFont="1" applyFill="1" applyBorder="1" applyAlignment="1">
      <alignment horizontal="center" vertical="center" wrapText="1"/>
    </xf>
    <xf numFmtId="165" fontId="111" fillId="67" borderId="118" xfId="60" applyNumberFormat="1" applyFont="1" applyFill="1" applyBorder="1" applyAlignment="1">
      <alignment vertical="center" wrapText="1"/>
    </xf>
    <xf numFmtId="165" fontId="113" fillId="73" borderId="113" xfId="60" applyNumberFormat="1" applyFont="1" applyFill="1" applyBorder="1" applyAlignment="1">
      <alignment horizontal="left" vertical="center" wrapText="1"/>
    </xf>
    <xf numFmtId="165" fontId="113" fillId="73" borderId="113" xfId="60" applyNumberFormat="1" applyFont="1" applyFill="1" applyBorder="1" applyAlignment="1">
      <alignment horizontal="center" vertical="center" wrapText="1"/>
    </xf>
    <xf numFmtId="165" fontId="113" fillId="73" borderId="118" xfId="60" applyNumberFormat="1" applyFont="1" applyFill="1" applyBorder="1" applyAlignment="1">
      <alignment horizontal="left" vertical="center" wrapText="1"/>
    </xf>
    <xf numFmtId="165" fontId="111" fillId="67" borderId="112" xfId="60" applyNumberFormat="1" applyFont="1" applyFill="1" applyBorder="1" applyAlignment="1">
      <alignment vertical="center" wrapText="1"/>
    </xf>
    <xf numFmtId="165" fontId="111" fillId="73" borderId="113" xfId="60" applyNumberFormat="1" applyFont="1" applyFill="1" applyBorder="1" applyAlignment="1">
      <alignment vertical="center" wrapText="1"/>
    </xf>
    <xf numFmtId="49" fontId="113" fillId="73" borderId="113" xfId="60" applyNumberFormat="1" applyFont="1" applyFill="1" applyBorder="1" applyAlignment="1">
      <alignment horizontal="center" vertical="center" wrapText="1"/>
    </xf>
    <xf numFmtId="49" fontId="112" fillId="67" borderId="112" xfId="60" applyNumberFormat="1" applyFont="1" applyFill="1" applyBorder="1" applyAlignment="1">
      <alignment vertical="center" wrapText="1"/>
    </xf>
    <xf numFmtId="165" fontId="113" fillId="67" borderId="118" xfId="60" applyNumberFormat="1" applyFont="1" applyFill="1" applyBorder="1" applyAlignment="1">
      <alignment vertical="center" wrapText="1"/>
    </xf>
    <xf numFmtId="165" fontId="111" fillId="67" borderId="117" xfId="60" applyNumberFormat="1" applyFont="1" applyFill="1" applyBorder="1" applyAlignment="1">
      <alignment vertical="center" wrapText="1"/>
    </xf>
    <xf numFmtId="165" fontId="113" fillId="67" borderId="117" xfId="60" applyNumberFormat="1" applyFont="1" applyFill="1" applyBorder="1" applyAlignment="1">
      <alignment vertical="center" wrapText="1"/>
    </xf>
    <xf numFmtId="165" fontId="111" fillId="73" borderId="117" xfId="60" applyNumberFormat="1" applyFont="1" applyFill="1" applyBorder="1" applyAlignment="1">
      <alignment vertical="center" wrapText="1"/>
    </xf>
    <xf numFmtId="0" fontId="111" fillId="73" borderId="113" xfId="60" applyNumberFormat="1" applyFont="1" applyFill="1" applyBorder="1" applyAlignment="1">
      <alignment horizontal="center" vertical="center" wrapText="1"/>
    </xf>
    <xf numFmtId="0" fontId="113" fillId="73" borderId="113" xfId="60" applyNumberFormat="1" applyFont="1" applyFill="1" applyBorder="1" applyAlignment="1">
      <alignment vertical="center" wrapText="1"/>
    </xf>
    <xf numFmtId="165" fontId="111" fillId="67" borderId="113" xfId="60" applyNumberFormat="1" applyFont="1" applyFill="1" applyBorder="1" applyAlignment="1">
      <alignment horizontal="left" vertical="center" wrapText="1"/>
    </xf>
    <xf numFmtId="164" fontId="111" fillId="67" borderId="112" xfId="60" applyNumberFormat="1" applyFont="1" applyFill="1" applyBorder="1" applyAlignment="1">
      <alignment vertical="center" wrapText="1"/>
    </xf>
    <xf numFmtId="9" fontId="111" fillId="69" borderId="113" xfId="60" applyNumberFormat="1" applyFont="1" applyFill="1" applyBorder="1" applyAlignment="1">
      <alignment horizontal="center" vertical="center" wrapText="1"/>
    </xf>
    <xf numFmtId="0" fontId="113" fillId="75" borderId="113" xfId="60" applyNumberFormat="1" applyFont="1" applyFill="1" applyBorder="1" applyAlignment="1">
      <alignment horizontal="center" vertical="center" wrapText="1"/>
    </xf>
    <xf numFmtId="165" fontId="113" fillId="67" borderId="114" xfId="60" applyNumberFormat="1" applyFont="1" applyFill="1" applyBorder="1" applyAlignment="1">
      <alignment vertical="center" wrapText="1"/>
    </xf>
    <xf numFmtId="165" fontId="113" fillId="75" borderId="114" xfId="60" applyNumberFormat="1" applyFont="1" applyFill="1" applyBorder="1" applyAlignment="1">
      <alignment vertical="center" wrapText="1"/>
    </xf>
    <xf numFmtId="164" fontId="111" fillId="79" borderId="118" xfId="60" applyNumberFormat="1" applyFont="1" applyFill="1" applyBorder="1" applyAlignment="1">
      <alignment vertical="center" wrapText="1"/>
    </xf>
    <xf numFmtId="165" fontId="113" fillId="79" borderId="117" xfId="60" applyNumberFormat="1" applyFont="1" applyFill="1" applyBorder="1" applyAlignment="1">
      <alignment horizontal="left" vertical="center" wrapText="1"/>
    </xf>
    <xf numFmtId="164" fontId="113" fillId="79" borderId="117" xfId="60" applyNumberFormat="1" applyFont="1" applyFill="1" applyBorder="1" applyAlignment="1">
      <alignment horizontal="center" vertical="center" wrapText="1"/>
    </xf>
    <xf numFmtId="10" fontId="113" fillId="79" borderId="120" xfId="60" applyNumberFormat="1" applyFont="1" applyFill="1" applyBorder="1" applyAlignment="1">
      <alignment horizontal="center" vertical="center" wrapText="1"/>
    </xf>
    <xf numFmtId="10" fontId="112" fillId="79" borderId="121" xfId="60" applyNumberFormat="1" applyFont="1" applyFill="1" applyBorder="1" applyAlignment="1">
      <alignment horizontal="center" vertical="center" wrapText="1"/>
    </xf>
    <xf numFmtId="9" fontId="113" fillId="79" borderId="117" xfId="60" applyNumberFormat="1" applyFont="1" applyFill="1" applyBorder="1" applyAlignment="1">
      <alignment horizontal="center" vertical="center" wrapText="1"/>
    </xf>
    <xf numFmtId="9" fontId="113" fillId="79" borderId="113" xfId="60" applyNumberFormat="1" applyFont="1" applyFill="1" applyBorder="1" applyAlignment="1">
      <alignment horizontal="center" vertical="center" wrapText="1"/>
    </xf>
    <xf numFmtId="165" fontId="113" fillId="79" borderId="112" xfId="60" applyNumberFormat="1" applyFont="1" applyFill="1" applyBorder="1" applyAlignment="1">
      <alignment vertical="center" wrapText="1"/>
    </xf>
    <xf numFmtId="164" fontId="111" fillId="79" borderId="136" xfId="60" applyNumberFormat="1" applyFont="1" applyFill="1" applyBorder="1" applyAlignment="1">
      <alignment vertical="center" wrapText="1"/>
    </xf>
    <xf numFmtId="165" fontId="113" fillId="79" borderId="132" xfId="60" applyNumberFormat="1" applyFont="1" applyFill="1" applyBorder="1" applyAlignment="1">
      <alignment horizontal="left" vertical="center" wrapText="1"/>
    </xf>
    <xf numFmtId="164" fontId="113" fillId="79" borderId="132" xfId="60" applyNumberFormat="1" applyFont="1" applyFill="1" applyBorder="1" applyAlignment="1">
      <alignment horizontal="center" vertical="center" wrapText="1"/>
    </xf>
    <xf numFmtId="10" fontId="113" fillId="79" borderId="133" xfId="60" applyNumberFormat="1" applyFont="1" applyFill="1" applyBorder="1" applyAlignment="1">
      <alignment horizontal="center" vertical="center" wrapText="1"/>
    </xf>
    <xf numFmtId="10" fontId="112" fillId="79" borderId="135" xfId="60" applyNumberFormat="1" applyFont="1" applyFill="1" applyBorder="1" applyAlignment="1">
      <alignment horizontal="center" vertical="center" wrapText="1"/>
    </xf>
    <xf numFmtId="9" fontId="113" fillId="79" borderId="132" xfId="60" applyNumberFormat="1" applyFont="1" applyFill="1" applyBorder="1" applyAlignment="1">
      <alignment horizontal="center" vertical="center" wrapText="1"/>
    </xf>
    <xf numFmtId="9" fontId="113" fillId="79" borderId="128" xfId="60" applyNumberFormat="1" applyFont="1" applyFill="1" applyBorder="1" applyAlignment="1">
      <alignment horizontal="center" vertical="center" wrapText="1"/>
    </xf>
    <xf numFmtId="165" fontId="113" fillId="79" borderId="130" xfId="60" applyNumberFormat="1" applyFont="1" applyFill="1" applyBorder="1" applyAlignment="1">
      <alignment vertical="center" wrapText="1"/>
    </xf>
    <xf numFmtId="164" fontId="111" fillId="80" borderId="118" xfId="60" applyNumberFormat="1" applyFont="1" applyFill="1" applyBorder="1" applyAlignment="1">
      <alignment vertical="center" wrapText="1"/>
    </xf>
    <xf numFmtId="165" fontId="113" fillId="80" borderId="117" xfId="60" applyNumberFormat="1" applyFont="1" applyFill="1" applyBorder="1" applyAlignment="1">
      <alignment horizontal="left" vertical="center" wrapText="1"/>
    </xf>
    <xf numFmtId="164" fontId="113" fillId="80" borderId="117" xfId="60" applyNumberFormat="1" applyFont="1" applyFill="1" applyBorder="1" applyAlignment="1">
      <alignment horizontal="center" vertical="center" wrapText="1"/>
    </xf>
    <xf numFmtId="10" fontId="112" fillId="80" borderId="122" xfId="60" applyNumberFormat="1" applyFont="1" applyFill="1" applyBorder="1" applyAlignment="1">
      <alignment horizontal="center" vertical="center" wrapText="1"/>
    </xf>
    <xf numFmtId="10" fontId="112" fillId="80" borderId="123" xfId="60" applyNumberFormat="1" applyFont="1" applyFill="1" applyBorder="1" applyAlignment="1">
      <alignment horizontal="center" vertical="center" wrapText="1"/>
    </xf>
    <xf numFmtId="9" fontId="113" fillId="80" borderId="117" xfId="60" applyNumberFormat="1" applyFont="1" applyFill="1" applyBorder="1" applyAlignment="1">
      <alignment horizontal="center" vertical="center" wrapText="1"/>
    </xf>
    <xf numFmtId="9" fontId="113" fillId="80" borderId="113" xfId="60" applyNumberFormat="1" applyFont="1" applyFill="1" applyBorder="1" applyAlignment="1">
      <alignment horizontal="center" vertical="center" wrapText="1"/>
    </xf>
    <xf numFmtId="164" fontId="113" fillId="80" borderId="113" xfId="60" applyNumberFormat="1" applyFont="1" applyFill="1" applyBorder="1" applyAlignment="1">
      <alignment vertical="center" wrapText="1"/>
    </xf>
    <xf numFmtId="165" fontId="113" fillId="80" borderId="112" xfId="60" applyNumberFormat="1" applyFont="1" applyFill="1" applyBorder="1" applyAlignment="1">
      <alignment vertical="center" wrapText="1"/>
    </xf>
    <xf numFmtId="164" fontId="111" fillId="80" borderId="136" xfId="60" applyNumberFormat="1" applyFont="1" applyFill="1" applyBorder="1" applyAlignment="1">
      <alignment vertical="center" wrapText="1"/>
    </xf>
    <xf numFmtId="165" fontId="113" fillId="80" borderId="132" xfId="60" applyNumberFormat="1" applyFont="1" applyFill="1" applyBorder="1" applyAlignment="1">
      <alignment horizontal="left" vertical="center" wrapText="1"/>
    </xf>
    <xf numFmtId="164" fontId="113" fillId="80" borderId="132" xfId="60" applyNumberFormat="1" applyFont="1" applyFill="1" applyBorder="1" applyAlignment="1">
      <alignment horizontal="center" vertical="center" wrapText="1"/>
    </xf>
    <xf numFmtId="10" fontId="112" fillId="80" borderId="136" xfId="60" applyNumberFormat="1" applyFont="1" applyFill="1" applyBorder="1" applyAlignment="1">
      <alignment horizontal="center" vertical="center" wrapText="1"/>
    </xf>
    <xf numFmtId="10" fontId="112" fillId="80" borderId="137" xfId="60" applyNumberFormat="1" applyFont="1" applyFill="1" applyBorder="1" applyAlignment="1">
      <alignment horizontal="center" vertical="center" wrapText="1"/>
    </xf>
    <xf numFmtId="9" fontId="113" fillId="80" borderId="132" xfId="60" applyNumberFormat="1" applyFont="1" applyFill="1" applyBorder="1" applyAlignment="1">
      <alignment horizontal="center" vertical="center" wrapText="1"/>
    </xf>
    <xf numFmtId="9" fontId="113" fillId="80" borderId="128" xfId="60" applyNumberFormat="1" applyFont="1" applyFill="1" applyBorder="1" applyAlignment="1">
      <alignment horizontal="center" vertical="center" wrapText="1"/>
    </xf>
    <xf numFmtId="164" fontId="113" fillId="80" borderId="128" xfId="60" applyNumberFormat="1" applyFont="1" applyFill="1" applyBorder="1" applyAlignment="1">
      <alignment vertical="center" wrapText="1"/>
    </xf>
    <xf numFmtId="165" fontId="113" fillId="80" borderId="130" xfId="60" applyNumberFormat="1" applyFont="1" applyFill="1" applyBorder="1" applyAlignment="1">
      <alignment vertical="center" wrapText="1"/>
    </xf>
    <xf numFmtId="10" fontId="112" fillId="79" borderId="122" xfId="60" applyNumberFormat="1" applyFont="1" applyFill="1" applyBorder="1" applyAlignment="1">
      <alignment horizontal="center" vertical="center" wrapText="1"/>
    </xf>
    <xf numFmtId="10" fontId="112" fillId="79" borderId="123" xfId="60" applyNumberFormat="1" applyFont="1" applyFill="1" applyBorder="1" applyAlignment="1">
      <alignment horizontal="center" vertical="center" wrapText="1"/>
    </xf>
    <xf numFmtId="10" fontId="112" fillId="79" borderId="136" xfId="60" applyNumberFormat="1" applyFont="1" applyFill="1" applyBorder="1" applyAlignment="1">
      <alignment horizontal="center" vertical="center" wrapText="1"/>
    </xf>
    <xf numFmtId="10" fontId="112" fillId="79" borderId="137" xfId="60" applyNumberFormat="1" applyFont="1" applyFill="1" applyBorder="1" applyAlignment="1">
      <alignment horizontal="center" vertical="center" wrapText="1"/>
    </xf>
    <xf numFmtId="2" fontId="113" fillId="79" borderId="113" xfId="60" applyNumberFormat="1" applyFont="1" applyFill="1" applyBorder="1" applyAlignment="1">
      <alignment vertical="center" wrapText="1"/>
    </xf>
    <xf numFmtId="165" fontId="113" fillId="79" borderId="117" xfId="60" applyNumberFormat="1" applyFont="1" applyFill="1" applyBorder="1" applyAlignment="1">
      <alignment horizontal="center" vertical="center" wrapText="1"/>
    </xf>
    <xf numFmtId="2" fontId="113" fillId="79" borderId="128" xfId="60" applyNumberFormat="1" applyFont="1" applyFill="1" applyBorder="1" applyAlignment="1">
      <alignment vertical="center" wrapText="1"/>
    </xf>
    <xf numFmtId="165" fontId="113" fillId="79" borderId="132" xfId="60" applyNumberFormat="1" applyFont="1" applyFill="1" applyBorder="1" applyAlignment="1">
      <alignment horizontal="center" vertical="center" wrapText="1"/>
    </xf>
    <xf numFmtId="165" fontId="113" fillId="80" borderId="117" xfId="60" applyNumberFormat="1" applyFont="1" applyFill="1" applyBorder="1" applyAlignment="1">
      <alignment horizontal="center" vertical="center" wrapText="1"/>
    </xf>
    <xf numFmtId="165" fontId="113" fillId="80" borderId="132" xfId="60" applyNumberFormat="1" applyFont="1" applyFill="1" applyBorder="1" applyAlignment="1">
      <alignment horizontal="center" vertical="center" wrapText="1"/>
    </xf>
    <xf numFmtId="10" fontId="112" fillId="79" borderId="118" xfId="60" applyNumberFormat="1" applyFont="1" applyFill="1" applyBorder="1" applyAlignment="1">
      <alignment horizontal="center" vertical="center" wrapText="1"/>
    </xf>
    <xf numFmtId="10" fontId="112" fillId="79" borderId="124" xfId="60" applyNumberFormat="1" applyFont="1" applyFill="1" applyBorder="1" applyAlignment="1">
      <alignment horizontal="center" vertical="center" wrapText="1"/>
    </xf>
    <xf numFmtId="10" fontId="113" fillId="80" borderId="120" xfId="60" applyNumberFormat="1" applyFont="1" applyFill="1" applyBorder="1" applyAlignment="1">
      <alignment horizontal="center" vertical="center" wrapText="1"/>
    </xf>
    <xf numFmtId="10" fontId="112" fillId="80" borderId="121" xfId="60" applyNumberFormat="1" applyFont="1" applyFill="1" applyBorder="1" applyAlignment="1">
      <alignment horizontal="center" vertical="center" wrapText="1"/>
    </xf>
    <xf numFmtId="10" fontId="113" fillId="80" borderId="133" xfId="60" applyNumberFormat="1" applyFont="1" applyFill="1" applyBorder="1" applyAlignment="1">
      <alignment horizontal="center" vertical="center" wrapText="1"/>
    </xf>
    <xf numFmtId="10" fontId="112" fillId="80" borderId="135" xfId="60" applyNumberFormat="1" applyFont="1" applyFill="1" applyBorder="1" applyAlignment="1">
      <alignment horizontal="center" vertical="center" wrapText="1"/>
    </xf>
    <xf numFmtId="165" fontId="113" fillId="80" borderId="125" xfId="60" applyNumberFormat="1" applyFont="1" applyFill="1" applyBorder="1" applyAlignment="1">
      <alignment vertical="center" wrapText="1"/>
    </xf>
    <xf numFmtId="10" fontId="112" fillId="80" borderId="118" xfId="60" applyNumberFormat="1" applyFont="1" applyFill="1" applyBorder="1" applyAlignment="1">
      <alignment horizontal="center" vertical="center" wrapText="1"/>
    </xf>
    <xf numFmtId="10" fontId="112" fillId="80" borderId="124" xfId="60" applyNumberFormat="1" applyFont="1" applyFill="1" applyBorder="1" applyAlignment="1">
      <alignment horizontal="center" vertical="center" wrapText="1"/>
    </xf>
    <xf numFmtId="165" fontId="113" fillId="79" borderId="125" xfId="60" applyNumberFormat="1" applyFont="1" applyFill="1" applyBorder="1" applyAlignment="1">
      <alignment vertical="center" wrapText="1"/>
    </xf>
    <xf numFmtId="10" fontId="113" fillId="79" borderId="114" xfId="60" applyNumberFormat="1" applyFont="1" applyFill="1" applyBorder="1" applyAlignment="1">
      <alignment horizontal="center" vertical="center" wrapText="1"/>
    </xf>
    <xf numFmtId="10" fontId="112" fillId="79" borderId="119" xfId="60" applyNumberFormat="1" applyFont="1" applyFill="1" applyBorder="1" applyAlignment="1">
      <alignment horizontal="center" vertical="center" wrapText="1"/>
    </xf>
    <xf numFmtId="165" fontId="111" fillId="80" borderId="113" xfId="60" applyNumberFormat="1" applyFont="1" applyFill="1" applyBorder="1" applyAlignment="1">
      <alignment horizontal="center" vertical="center" wrapText="1"/>
    </xf>
    <xf numFmtId="167" fontId="111" fillId="80" borderId="113" xfId="60" applyNumberFormat="1" applyFont="1" applyFill="1" applyBorder="1" applyAlignment="1">
      <alignment horizontal="center" vertical="center" wrapText="1"/>
    </xf>
    <xf numFmtId="165" fontId="111" fillId="80" borderId="128" xfId="60" applyNumberFormat="1" applyFont="1" applyFill="1" applyBorder="1" applyAlignment="1">
      <alignment horizontal="center" vertical="center" wrapText="1"/>
    </xf>
    <xf numFmtId="167" fontId="111" fillId="80" borderId="128" xfId="60" applyNumberFormat="1" applyFont="1" applyFill="1" applyBorder="1" applyAlignment="1">
      <alignment horizontal="center" vertical="center" wrapText="1"/>
    </xf>
    <xf numFmtId="0" fontId="111" fillId="79" borderId="117" xfId="60" applyNumberFormat="1" applyFont="1" applyFill="1" applyBorder="1" applyAlignment="1">
      <alignment horizontal="center" vertical="center" wrapText="1"/>
    </xf>
    <xf numFmtId="165" fontId="111" fillId="79" borderId="117" xfId="60" applyNumberFormat="1" applyFont="1" applyFill="1" applyBorder="1" applyAlignment="1">
      <alignment horizontal="center" vertical="center" wrapText="1"/>
    </xf>
    <xf numFmtId="49" fontId="113" fillId="79" borderId="113" xfId="60" applyNumberFormat="1" applyFont="1" applyFill="1" applyBorder="1" applyAlignment="1">
      <alignment horizontal="center" vertical="center" wrapText="1"/>
    </xf>
    <xf numFmtId="0" fontId="111" fillId="79" borderId="132" xfId="60" applyNumberFormat="1" applyFont="1" applyFill="1" applyBorder="1" applyAlignment="1">
      <alignment horizontal="center" vertical="center" wrapText="1"/>
    </xf>
    <xf numFmtId="165" fontId="111" fillId="79" borderId="132" xfId="60" applyNumberFormat="1" applyFont="1" applyFill="1" applyBorder="1" applyAlignment="1">
      <alignment horizontal="center" vertical="center" wrapText="1"/>
    </xf>
    <xf numFmtId="49" fontId="113" fillId="79" borderId="128" xfId="60" applyNumberFormat="1" applyFont="1" applyFill="1" applyBorder="1" applyAlignment="1">
      <alignment horizontal="center" vertical="center" wrapText="1"/>
    </xf>
    <xf numFmtId="0" fontId="113" fillId="80" borderId="117" xfId="60" applyNumberFormat="1" applyFont="1" applyFill="1" applyBorder="1" applyAlignment="1">
      <alignment horizontal="center" vertical="center" wrapText="1"/>
    </xf>
    <xf numFmtId="49" fontId="113" fillId="80" borderId="113" xfId="60" applyNumberFormat="1" applyFont="1" applyFill="1" applyBorder="1" applyAlignment="1">
      <alignment vertical="center" wrapText="1"/>
    </xf>
    <xf numFmtId="49" fontId="113" fillId="80" borderId="113" xfId="60" applyNumberFormat="1" applyFont="1" applyFill="1" applyBorder="1" applyAlignment="1">
      <alignment horizontal="center" vertical="center" wrapText="1"/>
    </xf>
    <xf numFmtId="0" fontId="113" fillId="80" borderId="132" xfId="60" applyNumberFormat="1" applyFont="1" applyFill="1" applyBorder="1" applyAlignment="1">
      <alignment horizontal="center" vertical="center" wrapText="1"/>
    </xf>
    <xf numFmtId="49" fontId="113" fillId="80" borderId="128" xfId="60" applyNumberFormat="1" applyFont="1" applyFill="1" applyBorder="1" applyAlignment="1">
      <alignment vertical="center" wrapText="1"/>
    </xf>
    <xf numFmtId="49" fontId="113" fillId="80" borderId="128" xfId="60" applyNumberFormat="1" applyFont="1" applyFill="1" applyBorder="1" applyAlignment="1">
      <alignment horizontal="center" vertical="center" wrapText="1"/>
    </xf>
    <xf numFmtId="0" fontId="113" fillId="79" borderId="117" xfId="60" applyNumberFormat="1" applyFont="1" applyFill="1" applyBorder="1" applyAlignment="1">
      <alignment horizontal="center" vertical="center" wrapText="1"/>
    </xf>
    <xf numFmtId="49" fontId="113" fillId="79" borderId="113" xfId="60" applyNumberFormat="1" applyFont="1" applyFill="1" applyBorder="1" applyAlignment="1">
      <alignment vertical="center" wrapText="1"/>
    </xf>
    <xf numFmtId="0" fontId="113" fillId="79" borderId="132" xfId="60" applyNumberFormat="1" applyFont="1" applyFill="1" applyBorder="1" applyAlignment="1">
      <alignment horizontal="center" vertical="center" wrapText="1"/>
    </xf>
    <xf numFmtId="49" fontId="113" fillId="79" borderId="128" xfId="60" applyNumberFormat="1" applyFont="1" applyFill="1" applyBorder="1" applyAlignment="1">
      <alignment vertical="center" wrapText="1"/>
    </xf>
    <xf numFmtId="165" fontId="111" fillId="79" borderId="118" xfId="60" applyNumberFormat="1" applyFont="1" applyFill="1" applyBorder="1" applyAlignment="1">
      <alignment vertical="center" wrapText="1"/>
    </xf>
    <xf numFmtId="165" fontId="111" fillId="79" borderId="136" xfId="60" applyNumberFormat="1" applyFont="1" applyFill="1" applyBorder="1" applyAlignment="1">
      <alignment vertical="center" wrapText="1"/>
    </xf>
    <xf numFmtId="165" fontId="113" fillId="80" borderId="118" xfId="60" applyNumberFormat="1" applyFont="1" applyFill="1" applyBorder="1" applyAlignment="1">
      <alignment horizontal="left" vertical="center" wrapText="1"/>
    </xf>
    <xf numFmtId="165" fontId="113" fillId="80" borderId="136" xfId="60" applyNumberFormat="1" applyFont="1" applyFill="1" applyBorder="1" applyAlignment="1">
      <alignment horizontal="left" vertical="center" wrapText="1"/>
    </xf>
    <xf numFmtId="165" fontId="113" fillId="80" borderId="114" xfId="60" applyNumberFormat="1" applyFont="1" applyFill="1" applyBorder="1" applyAlignment="1">
      <alignment horizontal="center" vertical="center" wrapText="1"/>
    </xf>
    <xf numFmtId="165" fontId="113" fillId="80" borderId="133" xfId="60" applyNumberFormat="1" applyFont="1" applyFill="1" applyBorder="1" applyAlignment="1">
      <alignment horizontal="center" vertical="center" wrapText="1"/>
    </xf>
    <xf numFmtId="165" fontId="113" fillId="79" borderId="114" xfId="60" applyNumberFormat="1" applyFont="1" applyFill="1" applyBorder="1" applyAlignment="1">
      <alignment horizontal="center" vertical="center" wrapText="1"/>
    </xf>
    <xf numFmtId="165" fontId="113" fillId="79" borderId="133" xfId="60" applyNumberFormat="1" applyFont="1" applyFill="1" applyBorder="1" applyAlignment="1">
      <alignment horizontal="center" vertical="center" wrapText="1"/>
    </xf>
    <xf numFmtId="0" fontId="111" fillId="80" borderId="117" xfId="60" applyNumberFormat="1" applyFont="1" applyFill="1" applyBorder="1" applyAlignment="1">
      <alignment horizontal="center" vertical="center" wrapText="1"/>
    </xf>
    <xf numFmtId="165" fontId="111" fillId="80" borderId="117" xfId="60" applyNumberFormat="1" applyFont="1" applyFill="1" applyBorder="1" applyAlignment="1">
      <alignment horizontal="center" vertical="center" wrapText="1"/>
    </xf>
    <xf numFmtId="165" fontId="111" fillId="80" borderId="112" xfId="60" applyNumberFormat="1" applyFont="1" applyFill="1" applyBorder="1" applyAlignment="1">
      <alignment vertical="center" wrapText="1"/>
    </xf>
    <xf numFmtId="0" fontId="111" fillId="80" borderId="132" xfId="60" applyNumberFormat="1" applyFont="1" applyFill="1" applyBorder="1" applyAlignment="1">
      <alignment horizontal="center" vertical="center" wrapText="1"/>
    </xf>
    <xf numFmtId="165" fontId="111" fillId="80" borderId="132" xfId="60" applyNumberFormat="1" applyFont="1" applyFill="1" applyBorder="1" applyAlignment="1">
      <alignment horizontal="center" vertical="center" wrapText="1"/>
    </xf>
    <xf numFmtId="165" fontId="111" fillId="80" borderId="130" xfId="60" applyNumberFormat="1" applyFont="1" applyFill="1" applyBorder="1" applyAlignment="1">
      <alignment vertical="center" wrapText="1"/>
    </xf>
    <xf numFmtId="165" fontId="111" fillId="80" borderId="118" xfId="60" applyNumberFormat="1" applyFont="1" applyFill="1" applyBorder="1" applyAlignment="1">
      <alignment vertical="center" wrapText="1"/>
    </xf>
    <xf numFmtId="165" fontId="111" fillId="80" borderId="136" xfId="60" applyNumberFormat="1" applyFont="1" applyFill="1" applyBorder="1" applyAlignment="1">
      <alignment vertical="center" wrapText="1"/>
    </xf>
    <xf numFmtId="49" fontId="112" fillId="80" borderId="112" xfId="60" applyNumberFormat="1" applyFont="1" applyFill="1" applyBorder="1" applyAlignment="1">
      <alignment vertical="center" wrapText="1"/>
    </xf>
    <xf numFmtId="49" fontId="112" fillId="80" borderId="130" xfId="60" applyNumberFormat="1" applyFont="1" applyFill="1" applyBorder="1" applyAlignment="1">
      <alignment vertical="center" wrapText="1"/>
    </xf>
    <xf numFmtId="165" fontId="113" fillId="80" borderId="118" xfId="60" applyNumberFormat="1" applyFont="1" applyFill="1" applyBorder="1" applyAlignment="1">
      <alignment vertical="center" wrapText="1"/>
    </xf>
    <xf numFmtId="165" fontId="113" fillId="80" borderId="136" xfId="60" applyNumberFormat="1" applyFont="1" applyFill="1" applyBorder="1" applyAlignment="1">
      <alignment vertical="center" wrapText="1"/>
    </xf>
    <xf numFmtId="165" fontId="113" fillId="79" borderId="118" xfId="60" applyNumberFormat="1" applyFont="1" applyFill="1" applyBorder="1" applyAlignment="1">
      <alignment vertical="center" wrapText="1"/>
    </xf>
    <xf numFmtId="165" fontId="113" fillId="79" borderId="136" xfId="60" applyNumberFormat="1" applyFont="1" applyFill="1" applyBorder="1" applyAlignment="1">
      <alignment vertical="center" wrapText="1"/>
    </xf>
    <xf numFmtId="165" fontId="111" fillId="80" borderId="117" xfId="60" applyNumberFormat="1" applyFont="1" applyFill="1" applyBorder="1" applyAlignment="1">
      <alignment vertical="center" wrapText="1"/>
    </xf>
    <xf numFmtId="165" fontId="111" fillId="80" borderId="132" xfId="60" applyNumberFormat="1" applyFont="1" applyFill="1" applyBorder="1" applyAlignment="1">
      <alignment vertical="center" wrapText="1"/>
    </xf>
    <xf numFmtId="165" fontId="113" fillId="79" borderId="117" xfId="60" applyNumberFormat="1" applyFont="1" applyFill="1" applyBorder="1" applyAlignment="1">
      <alignment vertical="center" wrapText="1"/>
    </xf>
    <xf numFmtId="165" fontId="113" fillId="79" borderId="132" xfId="60" applyNumberFormat="1" applyFont="1" applyFill="1" applyBorder="1" applyAlignment="1">
      <alignment vertical="center" wrapText="1"/>
    </xf>
    <xf numFmtId="165" fontId="113" fillId="80" borderId="117" xfId="60" applyNumberFormat="1" applyFont="1" applyFill="1" applyBorder="1" applyAlignment="1">
      <alignment vertical="center" wrapText="1"/>
    </xf>
    <xf numFmtId="165" fontId="113" fillId="80" borderId="132" xfId="60" applyNumberFormat="1" applyFont="1" applyFill="1" applyBorder="1" applyAlignment="1">
      <alignment vertical="center" wrapText="1"/>
    </xf>
    <xf numFmtId="165" fontId="111" fillId="79" borderId="117" xfId="60" applyNumberFormat="1" applyFont="1" applyFill="1" applyBorder="1" applyAlignment="1">
      <alignment vertical="center" wrapText="1"/>
    </xf>
    <xf numFmtId="165" fontId="111" fillId="79" borderId="132" xfId="60" applyNumberFormat="1" applyFont="1" applyFill="1" applyBorder="1" applyAlignment="1">
      <alignment vertical="center" wrapText="1"/>
    </xf>
    <xf numFmtId="0" fontId="113" fillId="80" borderId="113" xfId="60" applyNumberFormat="1" applyFont="1" applyFill="1" applyBorder="1" applyAlignment="1">
      <alignment vertical="center" wrapText="1"/>
    </xf>
    <xf numFmtId="0" fontId="113" fillId="80" borderId="128" xfId="60" applyNumberFormat="1" applyFont="1" applyFill="1" applyBorder="1" applyAlignment="1">
      <alignment vertical="center" wrapText="1"/>
    </xf>
    <xf numFmtId="0" fontId="113" fillId="79" borderId="113" xfId="60" applyNumberFormat="1" applyFont="1" applyFill="1" applyBorder="1" applyAlignment="1">
      <alignment vertical="center" wrapText="1"/>
    </xf>
    <xf numFmtId="0" fontId="113" fillId="79" borderId="128" xfId="60" applyNumberFormat="1" applyFont="1" applyFill="1" applyBorder="1" applyAlignment="1">
      <alignment vertical="center" wrapText="1"/>
    </xf>
    <xf numFmtId="164" fontId="111" fillId="80" borderId="112" xfId="60" applyNumberFormat="1" applyFont="1" applyFill="1" applyBorder="1" applyAlignment="1">
      <alignment vertical="center" wrapText="1"/>
    </xf>
    <xf numFmtId="164" fontId="111" fillId="80" borderId="130" xfId="60" applyNumberFormat="1" applyFont="1" applyFill="1" applyBorder="1" applyAlignment="1">
      <alignment vertical="center" wrapText="1"/>
    </xf>
    <xf numFmtId="165" fontId="113" fillId="79" borderId="114" xfId="60" applyNumberFormat="1" applyFont="1" applyFill="1" applyBorder="1" applyAlignment="1">
      <alignment vertical="center" wrapText="1"/>
    </xf>
    <xf numFmtId="165" fontId="113" fillId="79" borderId="133" xfId="60" applyNumberFormat="1" applyFont="1" applyFill="1" applyBorder="1" applyAlignment="1">
      <alignment vertical="center" wrapText="1"/>
    </xf>
    <xf numFmtId="165" fontId="113" fillId="80" borderId="114" xfId="60" applyNumberFormat="1" applyFont="1" applyFill="1" applyBorder="1" applyAlignment="1">
      <alignment vertical="center" wrapText="1"/>
    </xf>
    <xf numFmtId="165" fontId="113" fillId="80" borderId="133" xfId="60" applyNumberFormat="1" applyFont="1" applyFill="1" applyBorder="1" applyAlignment="1">
      <alignment vertical="center" wrapText="1"/>
    </xf>
    <xf numFmtId="0" fontId="111" fillId="81" borderId="115" xfId="60" applyNumberFormat="1" applyFont="1" applyFill="1" applyBorder="1" applyAlignment="1">
      <alignment horizontal="center" vertical="center" wrapText="1"/>
    </xf>
    <xf numFmtId="165" fontId="111" fillId="81" borderId="116" xfId="60" applyNumberFormat="1" applyFont="1" applyFill="1" applyBorder="1" applyAlignment="1">
      <alignment horizontal="center" vertical="center" wrapText="1"/>
    </xf>
    <xf numFmtId="165" fontId="111" fillId="81" borderId="116" xfId="60" applyNumberFormat="1" applyFont="1" applyFill="1" applyBorder="1" applyAlignment="1">
      <alignment vertical="center" wrapText="1"/>
    </xf>
    <xf numFmtId="165" fontId="113" fillId="81" borderId="116" xfId="60" applyNumberFormat="1" applyFont="1" applyFill="1" applyBorder="1" applyAlignment="1">
      <alignment horizontal="left" vertical="center" wrapText="1"/>
    </xf>
    <xf numFmtId="165" fontId="113" fillId="81" borderId="116" xfId="60" applyNumberFormat="1" applyFont="1" applyFill="1" applyBorder="1" applyAlignment="1">
      <alignment horizontal="center" vertical="center" wrapText="1"/>
    </xf>
    <xf numFmtId="0" fontId="113" fillId="81" borderId="116" xfId="60" applyNumberFormat="1" applyFont="1" applyFill="1" applyBorder="1" applyAlignment="1">
      <alignment horizontal="center" vertical="center" wrapText="1"/>
    </xf>
    <xf numFmtId="164" fontId="113" fillId="81" borderId="116" xfId="60" applyNumberFormat="1" applyFont="1" applyFill="1" applyBorder="1" applyAlignment="1">
      <alignment vertical="center" wrapText="1"/>
    </xf>
    <xf numFmtId="10" fontId="111" fillId="81" borderId="113" xfId="60" applyNumberFormat="1" applyFont="1" applyFill="1" applyBorder="1" applyAlignment="1">
      <alignment horizontal="center" vertical="center" wrapText="1"/>
    </xf>
    <xf numFmtId="164" fontId="111" fillId="81" borderId="113" xfId="60" applyNumberFormat="1" applyFont="1" applyFill="1" applyBorder="1" applyAlignment="1">
      <alignment vertical="center" wrapText="1"/>
    </xf>
    <xf numFmtId="164" fontId="113" fillId="81" borderId="112" xfId="60" applyNumberFormat="1" applyFont="1" applyFill="1" applyBorder="1" applyAlignment="1">
      <alignment vertical="center" wrapText="1"/>
    </xf>
    <xf numFmtId="165" fontId="113" fillId="81" borderId="112" xfId="60" applyNumberFormat="1" applyFont="1" applyFill="1" applyBorder="1" applyAlignment="1">
      <alignment vertical="center" wrapText="1"/>
    </xf>
    <xf numFmtId="0" fontId="114" fillId="81" borderId="115" xfId="60" applyNumberFormat="1" applyFont="1" applyFill="1" applyBorder="1" applyAlignment="1">
      <alignment horizontal="center" vertical="center" wrapText="1"/>
    </xf>
    <xf numFmtId="165" fontId="114" fillId="81" borderId="116" xfId="60" applyNumberFormat="1" applyFont="1" applyFill="1" applyBorder="1" applyAlignment="1">
      <alignment horizontal="center" vertical="center" wrapText="1"/>
    </xf>
    <xf numFmtId="165" fontId="114" fillId="81" borderId="116" xfId="60" applyNumberFormat="1" applyFont="1" applyFill="1" applyBorder="1" applyAlignment="1">
      <alignment vertical="center" wrapText="1"/>
    </xf>
    <xf numFmtId="165" fontId="114" fillId="81" borderId="116" xfId="60" applyNumberFormat="1" applyFont="1" applyFill="1" applyBorder="1" applyAlignment="1">
      <alignment horizontal="left" vertical="center" wrapText="1"/>
    </xf>
    <xf numFmtId="0" fontId="114" fillId="81" borderId="116" xfId="60" applyNumberFormat="1" applyFont="1" applyFill="1" applyBorder="1" applyAlignment="1">
      <alignment horizontal="center" vertical="center" wrapText="1"/>
    </xf>
    <xf numFmtId="164" fontId="114" fillId="81" borderId="116" xfId="60" applyNumberFormat="1" applyFont="1" applyFill="1" applyBorder="1" applyAlignment="1">
      <alignment vertical="center" wrapText="1"/>
    </xf>
    <xf numFmtId="10" fontId="114" fillId="81" borderId="113" xfId="60" applyNumberFormat="1" applyFont="1" applyFill="1" applyBorder="1" applyAlignment="1">
      <alignment horizontal="center" vertical="center" wrapText="1"/>
    </xf>
    <xf numFmtId="164" fontId="114" fillId="81" borderId="113" xfId="60" applyNumberFormat="1" applyFont="1" applyFill="1" applyBorder="1" applyAlignment="1">
      <alignment vertical="center" wrapText="1"/>
    </xf>
    <xf numFmtId="164" fontId="114" fillId="81" borderId="112" xfId="60" applyNumberFormat="1" applyFont="1" applyFill="1" applyBorder="1" applyAlignment="1">
      <alignment vertical="center" wrapText="1"/>
    </xf>
    <xf numFmtId="165" fontId="114" fillId="81" borderId="112" xfId="60" applyNumberFormat="1" applyFont="1" applyFill="1" applyBorder="1" applyAlignment="1">
      <alignment vertical="center" wrapText="1"/>
    </xf>
    <xf numFmtId="0" fontId="114" fillId="81" borderId="138" xfId="60" applyNumberFormat="1" applyFont="1" applyFill="1" applyBorder="1" applyAlignment="1">
      <alignment horizontal="center" vertical="center" wrapText="1"/>
    </xf>
    <xf numFmtId="165" fontId="114" fillId="81" borderId="139" xfId="60" applyNumberFormat="1" applyFont="1" applyFill="1" applyBorder="1" applyAlignment="1">
      <alignment horizontal="center" vertical="center" wrapText="1"/>
    </xf>
    <xf numFmtId="165" fontId="114" fillId="81" borderId="139" xfId="60" applyNumberFormat="1" applyFont="1" applyFill="1" applyBorder="1" applyAlignment="1">
      <alignment vertical="center" wrapText="1"/>
    </xf>
    <xf numFmtId="165" fontId="114" fillId="81" borderId="139" xfId="60" applyNumberFormat="1" applyFont="1" applyFill="1" applyBorder="1" applyAlignment="1">
      <alignment horizontal="left" vertical="center" wrapText="1"/>
    </xf>
    <xf numFmtId="0" fontId="114" fillId="81" borderId="139" xfId="60" applyNumberFormat="1" applyFont="1" applyFill="1" applyBorder="1" applyAlignment="1">
      <alignment horizontal="center" vertical="center" wrapText="1"/>
    </xf>
    <xf numFmtId="164" fontId="114" fillId="81" borderId="139" xfId="60" applyNumberFormat="1" applyFont="1" applyFill="1" applyBorder="1" applyAlignment="1">
      <alignment vertical="center" wrapText="1"/>
    </xf>
    <xf numFmtId="10" fontId="114" fillId="81" borderId="129" xfId="60" applyNumberFormat="1" applyFont="1" applyFill="1" applyBorder="1" applyAlignment="1">
      <alignment horizontal="center" vertical="center" wrapText="1"/>
    </xf>
    <xf numFmtId="164" fontId="114" fillId="81" borderId="129" xfId="60" applyNumberFormat="1" applyFont="1" applyFill="1" applyBorder="1" applyAlignment="1">
      <alignment vertical="center" wrapText="1"/>
    </xf>
    <xf numFmtId="164" fontId="114" fillId="81" borderId="131" xfId="60" applyNumberFormat="1" applyFont="1" applyFill="1" applyBorder="1" applyAlignment="1">
      <alignment vertical="center" wrapText="1"/>
    </xf>
    <xf numFmtId="165" fontId="114" fillId="81" borderId="131" xfId="60" applyNumberFormat="1" applyFont="1" applyFill="1" applyBorder="1" applyAlignment="1">
      <alignment vertical="center" wrapText="1"/>
    </xf>
    <xf numFmtId="164" fontId="114" fillId="81" borderId="139" xfId="60" applyNumberFormat="1" applyFont="1" applyFill="1" applyBorder="1" applyAlignment="1">
      <alignment horizontal="center" vertical="center" wrapText="1"/>
    </xf>
    <xf numFmtId="164" fontId="114" fillId="81" borderId="129" xfId="60" applyNumberFormat="1" applyFont="1" applyFill="1" applyBorder="1" applyAlignment="1">
      <alignment horizontal="center" vertical="center" wrapText="1"/>
    </xf>
    <xf numFmtId="164" fontId="114" fillId="81" borderId="131" xfId="60" applyNumberFormat="1" applyFont="1" applyFill="1" applyBorder="1" applyAlignment="1">
      <alignment horizontal="center" vertical="center" wrapText="1"/>
    </xf>
    <xf numFmtId="165" fontId="114" fillId="81" borderId="131" xfId="60" applyNumberFormat="1" applyFont="1" applyFill="1" applyBorder="1" applyAlignment="1">
      <alignment horizontal="center" vertical="center" wrapText="1"/>
    </xf>
    <xf numFmtId="10" fontId="113" fillId="79" borderId="133" xfId="60" applyNumberFormat="1" applyFont="1" applyFill="1" applyBorder="1" applyAlignment="1">
      <alignment horizontal="right" vertical="center" wrapText="1"/>
    </xf>
    <xf numFmtId="9" fontId="113" fillId="79" borderId="132" xfId="60" applyNumberFormat="1" applyFont="1" applyFill="1" applyBorder="1" applyAlignment="1">
      <alignment horizontal="right" vertical="center" wrapText="1"/>
    </xf>
    <xf numFmtId="9" fontId="113" fillId="79" borderId="128" xfId="60" applyNumberFormat="1" applyFont="1" applyFill="1" applyBorder="1" applyAlignment="1">
      <alignment horizontal="right" vertical="center" wrapText="1"/>
    </xf>
    <xf numFmtId="0" fontId="120" fillId="80" borderId="128" xfId="60" applyNumberFormat="1" applyFont="1" applyFill="1" applyBorder="1" applyAlignment="1">
      <alignment horizontal="center" vertical="center" wrapText="1"/>
    </xf>
    <xf numFmtId="0" fontId="120" fillId="80" borderId="128" xfId="60" applyNumberFormat="1" applyFont="1" applyFill="1" applyBorder="1" applyAlignment="1">
      <alignment horizontal="right" vertical="center" wrapText="1"/>
    </xf>
    <xf numFmtId="9" fontId="113" fillId="80" borderId="132" xfId="60" applyNumberFormat="1" applyFont="1" applyFill="1" applyBorder="1" applyAlignment="1">
      <alignment horizontal="right" vertical="center" wrapText="1"/>
    </xf>
    <xf numFmtId="9" fontId="113" fillId="80" borderId="128" xfId="60" applyNumberFormat="1" applyFont="1" applyFill="1" applyBorder="1" applyAlignment="1">
      <alignment horizontal="right" vertical="center" wrapText="1"/>
    </xf>
    <xf numFmtId="10" fontId="113" fillId="80" borderId="133" xfId="60" applyNumberFormat="1" applyFont="1" applyFill="1" applyBorder="1" applyAlignment="1">
      <alignment horizontal="right" vertical="center" wrapText="1"/>
    </xf>
    <xf numFmtId="164" fontId="113" fillId="80" borderId="130" xfId="60" applyNumberFormat="1" applyFont="1" applyFill="1" applyBorder="1" applyAlignment="1">
      <alignment vertical="center" wrapText="1"/>
    </xf>
    <xf numFmtId="0" fontId="121" fillId="80" borderId="132" xfId="60" applyNumberFormat="1" applyFont="1" applyFill="1" applyBorder="1" applyAlignment="1">
      <alignment horizontal="center" vertical="center" wrapText="1"/>
    </xf>
    <xf numFmtId="165" fontId="121" fillId="80" borderId="132" xfId="60" applyNumberFormat="1" applyFont="1" applyFill="1" applyBorder="1" applyAlignment="1">
      <alignment horizontal="center" vertical="center" wrapText="1"/>
    </xf>
    <xf numFmtId="165" fontId="121" fillId="80" borderId="128" xfId="60" applyNumberFormat="1" applyFont="1" applyFill="1" applyBorder="1" applyAlignment="1">
      <alignment vertical="center" wrapText="1"/>
    </xf>
    <xf numFmtId="165" fontId="121" fillId="80" borderId="128" xfId="60" applyNumberFormat="1" applyFont="1" applyFill="1" applyBorder="1" applyAlignment="1">
      <alignment horizontal="left" vertical="center" wrapText="1"/>
    </xf>
    <xf numFmtId="165" fontId="121" fillId="80" borderId="128" xfId="60" applyNumberFormat="1" applyFont="1" applyFill="1" applyBorder="1" applyAlignment="1">
      <alignment horizontal="center" vertical="center" wrapText="1"/>
    </xf>
    <xf numFmtId="49" fontId="121" fillId="80" borderId="128" xfId="60" applyNumberFormat="1" applyFont="1" applyFill="1" applyBorder="1" applyAlignment="1">
      <alignment horizontal="center" vertical="center" wrapText="1"/>
    </xf>
    <xf numFmtId="0" fontId="121" fillId="80" borderId="128" xfId="60" applyNumberFormat="1" applyFont="1" applyFill="1" applyBorder="1" applyAlignment="1">
      <alignment horizontal="center" vertical="center" wrapText="1"/>
    </xf>
    <xf numFmtId="165" fontId="122" fillId="80" borderId="128" xfId="60" applyNumberFormat="1" applyFont="1" applyFill="1" applyBorder="1" applyAlignment="1">
      <alignment vertical="center" wrapText="1"/>
    </xf>
    <xf numFmtId="9" fontId="122" fillId="80" borderId="128" xfId="60" applyNumberFormat="1" applyFont="1" applyFill="1" applyBorder="1" applyAlignment="1">
      <alignment horizontal="center" vertical="center" wrapText="1"/>
    </xf>
    <xf numFmtId="164" fontId="122" fillId="80" borderId="130" xfId="60" applyNumberFormat="1" applyFont="1" applyFill="1" applyBorder="1" applyAlignment="1">
      <alignment vertical="center" wrapText="1"/>
    </xf>
    <xf numFmtId="165" fontId="121" fillId="80" borderId="130" xfId="60" applyNumberFormat="1" applyFont="1" applyFill="1" applyBorder="1" applyAlignment="1">
      <alignment vertical="center" wrapText="1"/>
    </xf>
    <xf numFmtId="164" fontId="121" fillId="80" borderId="130" xfId="60" applyNumberFormat="1" applyFont="1" applyFill="1" applyBorder="1" applyAlignment="1">
      <alignment vertical="center" wrapText="1"/>
    </xf>
    <xf numFmtId="0" fontId="121" fillId="80" borderId="140" xfId="60" applyNumberFormat="1" applyFont="1" applyFill="1" applyBorder="1" applyAlignment="1">
      <alignment horizontal="center" vertical="center" wrapText="1"/>
    </xf>
    <xf numFmtId="165" fontId="121" fillId="80" borderId="140" xfId="60" applyNumberFormat="1" applyFont="1" applyFill="1" applyBorder="1" applyAlignment="1">
      <alignment horizontal="center" vertical="center" wrapText="1"/>
    </xf>
    <xf numFmtId="165" fontId="121" fillId="80" borderId="141" xfId="60" applyNumberFormat="1" applyFont="1" applyFill="1" applyBorder="1" applyAlignment="1">
      <alignment vertical="center" wrapText="1"/>
    </xf>
    <xf numFmtId="165" fontId="121" fillId="80" borderId="141" xfId="60" applyNumberFormat="1" applyFont="1" applyFill="1" applyBorder="1" applyAlignment="1">
      <alignment horizontal="left" vertical="center" wrapText="1"/>
    </xf>
    <xf numFmtId="165" fontId="121" fillId="80" borderId="141" xfId="60" applyNumberFormat="1" applyFont="1" applyFill="1" applyBorder="1" applyAlignment="1">
      <alignment horizontal="center" vertical="center" wrapText="1"/>
    </xf>
    <xf numFmtId="49" fontId="121" fillId="80" borderId="141" xfId="60" applyNumberFormat="1" applyFont="1" applyFill="1" applyBorder="1" applyAlignment="1">
      <alignment horizontal="center" vertical="center" wrapText="1"/>
    </xf>
    <xf numFmtId="0" fontId="121" fillId="80" borderId="141" xfId="60" applyNumberFormat="1" applyFont="1" applyFill="1" applyBorder="1" applyAlignment="1">
      <alignment horizontal="center" vertical="center" wrapText="1"/>
    </xf>
    <xf numFmtId="165" fontId="122" fillId="80" borderId="141" xfId="60" applyNumberFormat="1" applyFont="1" applyFill="1" applyBorder="1" applyAlignment="1">
      <alignment vertical="center" wrapText="1"/>
    </xf>
    <xf numFmtId="9" fontId="122" fillId="80" borderId="141" xfId="60" applyNumberFormat="1" applyFont="1" applyFill="1" applyBorder="1" applyAlignment="1">
      <alignment horizontal="center" vertical="center" wrapText="1"/>
    </xf>
    <xf numFmtId="164" fontId="122" fillId="80" borderId="142" xfId="60" applyNumberFormat="1" applyFont="1" applyFill="1" applyBorder="1" applyAlignment="1">
      <alignment vertical="center" wrapText="1"/>
    </xf>
    <xf numFmtId="165" fontId="121" fillId="80" borderId="142" xfId="60" applyNumberFormat="1" applyFont="1" applyFill="1" applyBorder="1" applyAlignment="1">
      <alignment vertical="center" wrapText="1"/>
    </xf>
    <xf numFmtId="164" fontId="121" fillId="80" borderId="142" xfId="60" applyNumberFormat="1" applyFont="1" applyFill="1" applyBorder="1" applyAlignment="1">
      <alignment vertical="center" wrapText="1"/>
    </xf>
    <xf numFmtId="0" fontId="118" fillId="80" borderId="140" xfId="60" applyNumberFormat="1" applyFont="1" applyFill="1" applyBorder="1" applyAlignment="1">
      <alignment horizontal="center" vertical="center" wrapText="1"/>
    </xf>
    <xf numFmtId="0" fontId="118" fillId="80" borderId="140" xfId="60" applyNumberFormat="1" applyFont="1" applyFill="1" applyBorder="1" applyAlignment="1">
      <alignment horizontal="right" vertical="center" wrapText="1"/>
    </xf>
    <xf numFmtId="165" fontId="111" fillId="80" borderId="141" xfId="60" applyNumberFormat="1" applyFont="1" applyFill="1" applyBorder="1" applyAlignment="1">
      <alignment vertical="center" wrapText="1"/>
    </xf>
    <xf numFmtId="165" fontId="111" fillId="80" borderId="141" xfId="60" applyNumberFormat="1" applyFont="1" applyFill="1" applyBorder="1" applyAlignment="1">
      <alignment horizontal="right" vertical="center" wrapText="1"/>
    </xf>
    <xf numFmtId="164" fontId="123" fillId="80" borderId="142" xfId="60" applyNumberFormat="1" applyFont="1" applyFill="1" applyBorder="1" applyAlignment="1">
      <alignment vertical="center" wrapText="1"/>
    </xf>
    <xf numFmtId="164" fontId="123" fillId="80" borderId="142" xfId="60" applyNumberFormat="1" applyFont="1" applyFill="1" applyBorder="1" applyAlignment="1">
      <alignment horizontal="right" vertical="center" wrapText="1"/>
    </xf>
    <xf numFmtId="164" fontId="111" fillId="80" borderId="142" xfId="60" applyNumberFormat="1" applyFont="1" applyFill="1" applyBorder="1" applyAlignment="1">
      <alignment vertical="center" wrapText="1"/>
    </xf>
    <xf numFmtId="164" fontId="111" fillId="80" borderId="142" xfId="60" applyNumberFormat="1" applyFont="1" applyFill="1" applyBorder="1" applyAlignment="1">
      <alignment horizontal="right" vertical="center" wrapText="1"/>
    </xf>
    <xf numFmtId="9" fontId="112" fillId="80" borderId="128" xfId="60" applyNumberFormat="1" applyFont="1" applyFill="1" applyBorder="1" applyAlignment="1">
      <alignment horizontal="right" vertical="center" wrapText="1"/>
    </xf>
    <xf numFmtId="9" fontId="112" fillId="79" borderId="128" xfId="60" applyNumberFormat="1" applyFont="1" applyFill="1" applyBorder="1" applyAlignment="1">
      <alignment horizontal="right" vertical="center" wrapText="1"/>
    </xf>
    <xf numFmtId="165" fontId="121" fillId="80" borderId="136" xfId="60" applyNumberFormat="1" applyFont="1" applyFill="1" applyBorder="1" applyAlignment="1">
      <alignment vertical="center" wrapText="1"/>
    </xf>
    <xf numFmtId="49" fontId="121" fillId="80" borderId="128" xfId="60" applyNumberFormat="1" applyFont="1" applyFill="1" applyBorder="1" applyAlignment="1">
      <alignment vertical="center" wrapText="1"/>
    </xf>
    <xf numFmtId="165" fontId="121" fillId="80" borderId="143" xfId="60" applyNumberFormat="1" applyFont="1" applyFill="1" applyBorder="1" applyAlignment="1">
      <alignment vertical="center" wrapText="1"/>
    </xf>
    <xf numFmtId="49" fontId="121" fillId="80" borderId="141" xfId="60" applyNumberFormat="1" applyFont="1" applyFill="1" applyBorder="1" applyAlignment="1">
      <alignment vertical="center" wrapText="1"/>
    </xf>
    <xf numFmtId="165" fontId="111" fillId="80" borderId="143" xfId="60" applyNumberFormat="1" applyFont="1" applyFill="1" applyBorder="1" applyAlignment="1">
      <alignment vertical="center" wrapText="1"/>
    </xf>
    <xf numFmtId="165" fontId="111" fillId="80" borderId="143" xfId="60" applyNumberFormat="1" applyFont="1" applyFill="1" applyBorder="1" applyAlignment="1">
      <alignment horizontal="right" vertical="center" wrapText="1"/>
    </xf>
    <xf numFmtId="165" fontId="115" fillId="80" borderId="128" xfId="60" applyNumberFormat="1" applyFont="1" applyFill="1" applyBorder="1" applyAlignment="1">
      <alignment vertical="center" wrapText="1"/>
    </xf>
    <xf numFmtId="165" fontId="115" fillId="80" borderId="128" xfId="60" applyNumberFormat="1" applyFont="1" applyFill="1" applyBorder="1" applyAlignment="1">
      <alignment horizontal="right" vertical="center" wrapText="1"/>
    </xf>
    <xf numFmtId="165" fontId="115" fillId="79" borderId="128" xfId="60" applyNumberFormat="1" applyFont="1" applyFill="1" applyBorder="1" applyAlignment="1">
      <alignment vertical="center" wrapText="1"/>
    </xf>
    <xf numFmtId="165" fontId="111" fillId="80" borderId="142" xfId="60" applyNumberFormat="1" applyFont="1" applyFill="1" applyBorder="1" applyAlignment="1">
      <alignment vertical="center" wrapText="1"/>
    </xf>
    <xf numFmtId="165" fontId="111" fillId="80" borderId="142" xfId="60" applyNumberFormat="1" applyFont="1" applyFill="1" applyBorder="1" applyAlignment="1">
      <alignment horizontal="right" vertical="center" wrapText="1"/>
    </xf>
    <xf numFmtId="165" fontId="121" fillId="80" borderId="132" xfId="60" applyNumberFormat="1" applyFont="1" applyFill="1" applyBorder="1" applyAlignment="1">
      <alignment vertical="center" wrapText="1"/>
    </xf>
    <xf numFmtId="165" fontId="121" fillId="80" borderId="140" xfId="60" applyNumberFormat="1" applyFont="1" applyFill="1" applyBorder="1" applyAlignment="1">
      <alignment vertical="center" wrapText="1"/>
    </xf>
    <xf numFmtId="165" fontId="111" fillId="80" borderId="140" xfId="60" applyNumberFormat="1" applyFont="1" applyFill="1" applyBorder="1" applyAlignment="1">
      <alignment vertical="center" wrapText="1"/>
    </xf>
    <xf numFmtId="165" fontId="111" fillId="80" borderId="140" xfId="60" applyNumberFormat="1" applyFont="1" applyFill="1" applyBorder="1" applyAlignment="1">
      <alignment horizontal="right" vertical="center" wrapText="1"/>
    </xf>
    <xf numFmtId="165" fontId="120" fillId="79" borderId="128" xfId="60" applyNumberFormat="1" applyFont="1" applyFill="1" applyBorder="1" applyAlignment="1">
      <alignment vertical="center" wrapText="1"/>
    </xf>
    <xf numFmtId="165" fontId="120" fillId="79" borderId="128" xfId="60" applyNumberFormat="1" applyFont="1" applyFill="1" applyBorder="1" applyAlignment="1">
      <alignment horizontal="right" vertical="center" wrapText="1"/>
    </xf>
    <xf numFmtId="0" fontId="111" fillId="80" borderId="141" xfId="60" applyNumberFormat="1" applyFont="1" applyFill="1" applyBorder="1" applyAlignment="1">
      <alignment horizontal="center" vertical="center" wrapText="1"/>
    </xf>
    <xf numFmtId="0" fontId="111" fillId="80" borderId="141" xfId="60" applyNumberFormat="1" applyFont="1" applyFill="1" applyBorder="1" applyAlignment="1">
      <alignment horizontal="right" vertical="center" wrapText="1"/>
    </xf>
    <xf numFmtId="0" fontId="120" fillId="80" borderId="128" xfId="60" applyNumberFormat="1" applyFont="1" applyFill="1" applyBorder="1" applyAlignment="1">
      <alignment vertical="center" wrapText="1"/>
    </xf>
    <xf numFmtId="0" fontId="113" fillId="80" borderId="128" xfId="60" applyNumberFormat="1" applyFont="1" applyFill="1" applyBorder="1" applyAlignment="1">
      <alignment horizontal="right" vertical="center" wrapText="1"/>
    </xf>
    <xf numFmtId="0" fontId="120" fillId="79" borderId="128" xfId="60" applyNumberFormat="1" applyFont="1" applyFill="1" applyBorder="1" applyAlignment="1">
      <alignment vertical="center" wrapText="1"/>
    </xf>
    <xf numFmtId="0" fontId="113" fillId="79" borderId="128" xfId="60" applyNumberFormat="1" applyFont="1" applyFill="1" applyBorder="1" applyAlignment="1">
      <alignment horizontal="right" vertical="center" wrapText="1"/>
    </xf>
    <xf numFmtId="165" fontId="111" fillId="80" borderId="128" xfId="60" applyNumberFormat="1" applyFont="1" applyFill="1" applyBorder="1" applyAlignment="1">
      <alignment horizontal="left" vertical="center" wrapText="1"/>
    </xf>
    <xf numFmtId="165" fontId="111" fillId="80" borderId="141" xfId="60" applyNumberFormat="1" applyFont="1" applyFill="1" applyBorder="1" applyAlignment="1">
      <alignment horizontal="left" vertical="center" wrapText="1"/>
    </xf>
    <xf numFmtId="0" fontId="118" fillId="80" borderId="132" xfId="60" applyNumberFormat="1" applyFont="1" applyFill="1" applyBorder="1" applyAlignment="1">
      <alignment horizontal="center" vertical="center" wrapText="1"/>
    </xf>
    <xf numFmtId="0" fontId="118" fillId="80" borderId="132" xfId="60" applyNumberFormat="1" applyFont="1" applyFill="1" applyBorder="1" applyAlignment="1">
      <alignment horizontal="right" vertical="center" wrapText="1"/>
    </xf>
    <xf numFmtId="165" fontId="111" fillId="80" borderId="132" xfId="60" applyNumberFormat="1" applyFont="1" applyFill="1" applyBorder="1" applyAlignment="1">
      <alignment horizontal="right" vertical="center" wrapText="1"/>
    </xf>
    <xf numFmtId="165" fontId="111" fillId="80" borderId="128" xfId="60" applyNumberFormat="1" applyFont="1" applyFill="1" applyBorder="1" applyAlignment="1">
      <alignment horizontal="right" vertical="center" wrapText="1"/>
    </xf>
    <xf numFmtId="165" fontId="112" fillId="70" borderId="113" xfId="60" applyNumberFormat="1" applyFont="1" applyFill="1" applyBorder="1"/>
    <xf numFmtId="165" fontId="112" fillId="70" borderId="113" xfId="60" applyNumberFormat="1" applyFont="1" applyFill="1" applyBorder="1" applyAlignment="1">
      <alignment wrapText="1"/>
    </xf>
    <xf numFmtId="165" fontId="112" fillId="70" borderId="113" xfId="60" applyNumberFormat="1" applyFont="1" applyFill="1" applyBorder="1" applyAlignment="1">
      <alignment vertical="center" wrapText="1"/>
    </xf>
    <xf numFmtId="165" fontId="124" fillId="82" borderId="144" xfId="72"/>
    <xf numFmtId="165" fontId="124" fillId="82" borderId="144" xfId="72" applyAlignment="1">
      <alignment horizontal="center"/>
    </xf>
    <xf numFmtId="165" fontId="124" fillId="82" borderId="145" xfId="72" applyBorder="1"/>
    <xf numFmtId="165" fontId="128" fillId="82" borderId="145" xfId="72" applyFont="1" applyBorder="1"/>
    <xf numFmtId="165" fontId="127" fillId="82" borderId="145" xfId="72" applyFont="1" applyBorder="1" applyAlignment="1">
      <alignment wrapText="1"/>
    </xf>
    <xf numFmtId="0" fontId="124" fillId="82" borderId="145" xfId="72" applyNumberFormat="1" applyBorder="1" applyAlignment="1">
      <alignment horizontal="center"/>
    </xf>
    <xf numFmtId="0" fontId="124" fillId="82" borderId="144" xfId="72" applyNumberFormat="1" applyAlignment="1">
      <alignment horizontal="center"/>
    </xf>
    <xf numFmtId="0" fontId="128" fillId="82" borderId="145" xfId="72" applyNumberFormat="1" applyFont="1" applyBorder="1" applyAlignment="1">
      <alignment horizontal="center"/>
    </xf>
    <xf numFmtId="165" fontId="127" fillId="82" borderId="145" xfId="72" applyFont="1" applyBorder="1"/>
    <xf numFmtId="165" fontId="124" fillId="82" borderId="145" xfId="72" applyBorder="1" applyAlignment="1">
      <alignment wrapText="1"/>
    </xf>
    <xf numFmtId="165" fontId="128" fillId="86" borderId="145" xfId="72" applyFont="1" applyFill="1" applyBorder="1" applyAlignment="1">
      <alignment wrapText="1"/>
    </xf>
    <xf numFmtId="165" fontId="128" fillId="86" borderId="145" xfId="72" applyFont="1" applyFill="1" applyBorder="1" applyAlignment="1">
      <alignment horizontal="center"/>
    </xf>
    <xf numFmtId="165" fontId="128" fillId="82" borderId="144" xfId="72" applyFont="1"/>
    <xf numFmtId="165" fontId="124" fillId="82" borderId="145" xfId="72" applyFont="1" applyFill="1" applyBorder="1" applyAlignment="1">
      <alignment wrapText="1"/>
    </xf>
    <xf numFmtId="165" fontId="128" fillId="86" borderId="145" xfId="72" applyFont="1" applyFill="1" applyBorder="1" applyAlignment="1">
      <alignment horizontal="center" wrapText="1"/>
    </xf>
    <xf numFmtId="165" fontId="127" fillId="82" borderId="145" xfId="72" applyFont="1" applyFill="1" applyBorder="1" applyAlignment="1">
      <alignment wrapText="1"/>
    </xf>
    <xf numFmtId="165" fontId="127" fillId="82" borderId="145" xfId="72" applyFont="1" applyBorder="1" applyAlignment="1">
      <alignment horizontal="center" vertical="center" wrapText="1"/>
    </xf>
    <xf numFmtId="165" fontId="127" fillId="82" borderId="145" xfId="72" applyFont="1" applyFill="1" applyBorder="1" applyAlignment="1">
      <alignment horizontal="center" vertical="center" wrapText="1"/>
    </xf>
    <xf numFmtId="0" fontId="127" fillId="82" borderId="145" xfId="80" applyNumberFormat="1" applyFont="1" applyFill="1" applyBorder="1" applyAlignment="1">
      <alignment horizontal="center"/>
    </xf>
    <xf numFmtId="165" fontId="124" fillId="87" borderId="145" xfId="72" applyFill="1" applyBorder="1" applyAlignment="1">
      <alignment horizontal="center"/>
    </xf>
    <xf numFmtId="164" fontId="124" fillId="87" borderId="145" xfId="74" applyFont="1" applyFill="1" applyBorder="1" applyAlignment="1">
      <alignment horizontal="center"/>
    </xf>
    <xf numFmtId="9" fontId="124" fillId="87" borderId="145" xfId="75" applyFont="1" applyFill="1" applyBorder="1" applyAlignment="1">
      <alignment horizontal="center"/>
    </xf>
    <xf numFmtId="0" fontId="124" fillId="87" borderId="145" xfId="72" applyNumberFormat="1" applyFill="1" applyBorder="1" applyAlignment="1">
      <alignment horizontal="center"/>
    </xf>
    <xf numFmtId="9" fontId="124" fillId="82" borderId="144" xfId="75" applyFont="1"/>
    <xf numFmtId="165" fontId="124" fillId="82" borderId="145" xfId="74" applyNumberFormat="1" applyFont="1" applyBorder="1"/>
    <xf numFmtId="9" fontId="124" fillId="84" borderId="145" xfId="75" applyFont="1" applyFill="1" applyBorder="1" applyAlignment="1">
      <alignment horizontal="center"/>
    </xf>
    <xf numFmtId="165" fontId="124" fillId="82" borderId="145" xfId="74" applyNumberFormat="1" applyFont="1" applyFill="1" applyBorder="1"/>
    <xf numFmtId="165" fontId="128" fillId="82" borderId="145" xfId="74" applyNumberFormat="1" applyFont="1" applyBorder="1"/>
    <xf numFmtId="165" fontId="127" fillId="82" borderId="145" xfId="80" applyFont="1" applyBorder="1" applyAlignment="1">
      <alignment horizontal="center" wrapText="1"/>
    </xf>
    <xf numFmtId="165" fontId="127" fillId="82" borderId="145" xfId="80" applyFont="1" applyBorder="1" applyAlignment="1">
      <alignment horizontal="center"/>
    </xf>
    <xf numFmtId="165" fontId="127" fillId="82" borderId="145" xfId="80" applyFont="1" applyBorder="1" applyAlignment="1">
      <alignment wrapText="1"/>
    </xf>
    <xf numFmtId="9" fontId="128" fillId="89" borderId="145" xfId="75" applyFont="1" applyFill="1" applyBorder="1" applyAlignment="1">
      <alignment horizontal="center"/>
    </xf>
    <xf numFmtId="9" fontId="132" fillId="82" borderId="149" xfId="75" applyFont="1" applyFill="1" applyBorder="1" applyAlignment="1">
      <alignment horizontal="center"/>
    </xf>
    <xf numFmtId="164" fontId="124" fillId="82" borderId="144" xfId="74" applyFont="1"/>
    <xf numFmtId="0" fontId="131" fillId="85" borderId="147" xfId="80" applyNumberFormat="1" applyFont="1" applyFill="1" applyBorder="1" applyAlignment="1">
      <alignment horizontal="center"/>
    </xf>
    <xf numFmtId="165" fontId="131" fillId="85" borderId="148" xfId="80" applyFont="1" applyFill="1" applyBorder="1" applyAlignment="1">
      <alignment horizontal="center"/>
    </xf>
    <xf numFmtId="165" fontId="132" fillId="85" borderId="148" xfId="80" applyFont="1" applyFill="1" applyBorder="1" applyAlignment="1">
      <alignment horizontal="left" wrapText="1"/>
    </xf>
    <xf numFmtId="165" fontId="132" fillId="85" borderId="148" xfId="80" applyFont="1" applyFill="1" applyBorder="1" applyAlignment="1">
      <alignment horizontal="center"/>
    </xf>
    <xf numFmtId="165" fontId="132" fillId="85" borderId="148" xfId="80" applyFont="1" applyFill="1" applyBorder="1" applyAlignment="1">
      <alignment horizontal="center" wrapText="1"/>
    </xf>
    <xf numFmtId="0" fontId="132" fillId="85" borderId="148" xfId="80" applyNumberFormat="1" applyFont="1" applyFill="1" applyBorder="1" applyAlignment="1">
      <alignment horizontal="center"/>
    </xf>
    <xf numFmtId="165" fontId="132" fillId="82" borderId="144" xfId="80" applyFont="1"/>
    <xf numFmtId="0" fontId="127" fillId="82" borderId="145" xfId="80" applyNumberFormat="1" applyFont="1" applyBorder="1" applyAlignment="1">
      <alignment horizontal="center" wrapText="1"/>
    </xf>
    <xf numFmtId="165" fontId="127" fillId="88" borderId="145" xfId="80" applyFont="1" applyFill="1" applyBorder="1" applyAlignment="1">
      <alignment wrapText="1"/>
    </xf>
    <xf numFmtId="165" fontId="132" fillId="82" borderId="149" xfId="80" applyFont="1" applyFill="1" applyBorder="1" applyAlignment="1">
      <alignment horizontal="left" wrapText="1"/>
    </xf>
    <xf numFmtId="165" fontId="132" fillId="82" borderId="149" xfId="80" applyFont="1" applyFill="1" applyBorder="1" applyAlignment="1">
      <alignment horizontal="center"/>
    </xf>
    <xf numFmtId="165" fontId="132" fillId="82" borderId="144" xfId="80" applyFont="1" applyFill="1"/>
    <xf numFmtId="0" fontId="128" fillId="89" borderId="145" xfId="80" applyNumberFormat="1" applyFont="1" applyFill="1" applyBorder="1" applyAlignment="1">
      <alignment horizontal="center"/>
    </xf>
    <xf numFmtId="165" fontId="128" fillId="89" borderId="145" xfId="80" applyFont="1" applyFill="1" applyBorder="1" applyAlignment="1">
      <alignment horizontal="center"/>
    </xf>
    <xf numFmtId="165" fontId="128" fillId="89" borderId="145" xfId="80" applyFont="1" applyFill="1" applyBorder="1" applyAlignment="1">
      <alignment horizontal="center" wrapText="1"/>
    </xf>
    <xf numFmtId="167" fontId="128" fillId="89" borderId="145" xfId="80" applyNumberFormat="1" applyFont="1" applyFill="1" applyBorder="1" applyAlignment="1">
      <alignment horizontal="center"/>
    </xf>
    <xf numFmtId="165" fontId="127" fillId="82" borderId="144" xfId="80"/>
    <xf numFmtId="165" fontId="128" fillId="82" borderId="149" xfId="80" applyFont="1" applyBorder="1" applyAlignment="1">
      <alignment horizontal="center"/>
    </xf>
    <xf numFmtId="165" fontId="127" fillId="82" borderId="145" xfId="80" applyFont="1" applyBorder="1" applyAlignment="1">
      <alignment horizontal="left" wrapText="1"/>
    </xf>
    <xf numFmtId="165" fontId="127" fillId="82" borderId="145" xfId="80" applyBorder="1" applyAlignment="1">
      <alignment horizontal="center"/>
    </xf>
    <xf numFmtId="0" fontId="127" fillId="82" borderId="145" xfId="80" applyNumberFormat="1" applyBorder="1" applyAlignment="1">
      <alignment horizontal="center"/>
    </xf>
    <xf numFmtId="165" fontId="127" fillId="82" borderId="145" xfId="80" applyFont="1" applyBorder="1" applyAlignment="1">
      <alignment horizontal="center" vertical="center"/>
    </xf>
    <xf numFmtId="0" fontId="127" fillId="88" borderId="145" xfId="80" applyNumberFormat="1" applyFont="1" applyFill="1" applyBorder="1" applyAlignment="1">
      <alignment horizontal="center"/>
    </xf>
    <xf numFmtId="165" fontId="127" fillId="82" borderId="144" xfId="80" applyNumberFormat="1"/>
    <xf numFmtId="165" fontId="127" fillId="82" borderId="145" xfId="80" applyFont="1" applyBorder="1"/>
    <xf numFmtId="165" fontId="127" fillId="82" borderId="149" xfId="80" applyBorder="1" applyAlignment="1">
      <alignment horizontal="center"/>
    </xf>
    <xf numFmtId="165" fontId="127" fillId="88" borderId="145" xfId="80" applyFont="1" applyFill="1" applyBorder="1" applyAlignment="1">
      <alignment horizontal="center"/>
    </xf>
    <xf numFmtId="165" fontId="128" fillId="88" borderId="149" xfId="80" applyFont="1" applyFill="1" applyBorder="1" applyAlignment="1">
      <alignment wrapText="1"/>
    </xf>
    <xf numFmtId="164" fontId="127" fillId="82" borderId="144" xfId="74"/>
    <xf numFmtId="165" fontId="127" fillId="82" borderId="146" xfId="80" applyFont="1" applyFill="1" applyBorder="1" applyAlignment="1">
      <alignment wrapText="1"/>
    </xf>
    <xf numFmtId="0" fontId="128" fillId="82" borderId="144" xfId="80" applyNumberFormat="1" applyFont="1" applyAlignment="1">
      <alignment horizontal="center"/>
    </xf>
    <xf numFmtId="165" fontId="127" fillId="82" borderId="144" xfId="80" applyAlignment="1">
      <alignment horizontal="center"/>
    </xf>
    <xf numFmtId="165" fontId="127" fillId="82" borderId="144" xfId="80" applyAlignment="1">
      <alignment wrapText="1"/>
    </xf>
    <xf numFmtId="165" fontId="127" fillId="82" borderId="144" xfId="80" applyAlignment="1">
      <alignment horizontal="center" wrapText="1"/>
    </xf>
    <xf numFmtId="0" fontId="127" fillId="82" borderId="144" xfId="80" applyNumberFormat="1" applyAlignment="1">
      <alignment horizontal="center"/>
    </xf>
    <xf numFmtId="167" fontId="127" fillId="82" borderId="144" xfId="80" applyNumberFormat="1"/>
    <xf numFmtId="0" fontId="128" fillId="88" borderId="149" xfId="80" applyNumberFormat="1" applyFont="1" applyFill="1" applyBorder="1" applyAlignment="1">
      <alignment horizontal="center"/>
    </xf>
    <xf numFmtId="0" fontId="127" fillId="88" borderId="149" xfId="80" applyNumberFormat="1" applyFont="1" applyFill="1" applyBorder="1" applyAlignment="1">
      <alignment horizontal="center"/>
    </xf>
    <xf numFmtId="165" fontId="127" fillId="88" borderId="145" xfId="80" applyFont="1" applyFill="1" applyBorder="1" applyAlignment="1">
      <alignment vertical="center" wrapText="1"/>
    </xf>
    <xf numFmtId="165" fontId="127" fillId="82" borderId="146" xfId="72" applyFont="1" applyBorder="1" applyAlignment="1">
      <alignment horizontal="center" wrapText="1"/>
    </xf>
    <xf numFmtId="165" fontId="124" fillId="88" borderId="145" xfId="74" applyNumberFormat="1" applyFont="1" applyFill="1" applyBorder="1"/>
    <xf numFmtId="164" fontId="132" fillId="82" borderId="144" xfId="74" applyFont="1"/>
    <xf numFmtId="165" fontId="127" fillId="82" borderId="146" xfId="80" applyFont="1" applyBorder="1" applyAlignment="1">
      <alignment horizontal="center" wrapText="1"/>
    </xf>
    <xf numFmtId="165" fontId="131" fillId="85" borderId="148" xfId="80" applyFont="1" applyFill="1" applyBorder="1" applyAlignment="1">
      <alignment wrapText="1"/>
    </xf>
    <xf numFmtId="164" fontId="132" fillId="85" borderId="148" xfId="74" applyFont="1" applyFill="1" applyBorder="1"/>
    <xf numFmtId="165" fontId="131" fillId="85" borderId="145" xfId="74" applyNumberFormat="1" applyFont="1" applyFill="1" applyBorder="1"/>
    <xf numFmtId="10" fontId="131" fillId="85" borderId="145" xfId="75" applyNumberFormat="1" applyFont="1" applyFill="1" applyBorder="1" applyAlignment="1">
      <alignment horizontal="center"/>
    </xf>
    <xf numFmtId="164" fontId="131" fillId="85" borderId="145" xfId="74" applyFont="1" applyFill="1" applyBorder="1"/>
    <xf numFmtId="164" fontId="131" fillId="82" borderId="150" xfId="74" applyFont="1" applyFill="1" applyBorder="1" applyAlignment="1">
      <alignment wrapText="1"/>
    </xf>
    <xf numFmtId="164" fontId="132" fillId="82" borderId="149" xfId="74" applyFont="1" applyFill="1" applyBorder="1" applyAlignment="1">
      <alignment horizontal="center"/>
    </xf>
    <xf numFmtId="165" fontId="132" fillId="82" borderId="145" xfId="74" applyNumberFormat="1" applyFont="1" applyFill="1" applyBorder="1"/>
    <xf numFmtId="9" fontId="132" fillId="82" borderId="145" xfId="75" applyFont="1" applyFill="1" applyBorder="1" applyAlignment="1">
      <alignment horizontal="center"/>
    </xf>
    <xf numFmtId="164" fontId="132" fillId="82" borderId="145" xfId="74" applyFont="1" applyFill="1" applyBorder="1"/>
    <xf numFmtId="165" fontId="133" fillId="82" borderId="144" xfId="80" applyFont="1"/>
    <xf numFmtId="2" fontId="127" fillId="82" borderId="145" xfId="80" applyNumberFormat="1" applyFont="1" applyBorder="1" applyAlignment="1">
      <alignment wrapText="1"/>
    </xf>
    <xf numFmtId="165" fontId="127" fillId="82" borderId="157" xfId="80" applyFont="1" applyBorder="1" applyAlignment="1">
      <alignment wrapText="1"/>
    </xf>
    <xf numFmtId="165" fontId="128" fillId="82" borderId="145" xfId="80" applyFont="1" applyBorder="1" applyAlignment="1">
      <alignment wrapText="1"/>
    </xf>
    <xf numFmtId="49" fontId="127" fillId="82" borderId="145" xfId="80" applyNumberFormat="1" applyBorder="1" applyAlignment="1">
      <alignment horizontal="center"/>
    </xf>
    <xf numFmtId="165" fontId="127" fillId="88" borderId="149" xfId="80" applyFill="1" applyBorder="1" applyAlignment="1">
      <alignment horizontal="center"/>
    </xf>
    <xf numFmtId="49" fontId="127" fillId="82" borderId="145" xfId="80" applyNumberFormat="1" applyBorder="1"/>
    <xf numFmtId="49" fontId="127" fillId="82" borderId="145" xfId="80" applyNumberFormat="1" applyFont="1" applyBorder="1" applyAlignment="1">
      <alignment horizontal="center"/>
    </xf>
    <xf numFmtId="165" fontId="127" fillId="88" borderId="145" xfId="74" applyNumberFormat="1" applyFont="1" applyFill="1" applyBorder="1"/>
    <xf numFmtId="165" fontId="128" fillId="82" borderId="150" xfId="80" applyFont="1" applyBorder="1" applyAlignment="1">
      <alignment wrapText="1"/>
    </xf>
    <xf numFmtId="0" fontId="128" fillId="82" borderId="145" xfId="80" applyNumberFormat="1" applyFont="1" applyBorder="1" applyAlignment="1">
      <alignment horizontal="center"/>
    </xf>
    <xf numFmtId="165" fontId="127" fillId="88" borderId="145" xfId="80" applyFont="1" applyFill="1" applyBorder="1" applyAlignment="1">
      <alignment horizontal="left" wrapText="1"/>
    </xf>
    <xf numFmtId="165" fontId="127" fillId="88" borderId="145" xfId="80" applyFont="1" applyFill="1" applyBorder="1" applyAlignment="1">
      <alignment horizontal="center" wrapText="1"/>
    </xf>
    <xf numFmtId="0" fontId="127" fillId="88" borderId="145" xfId="80" applyNumberFormat="1" applyFill="1" applyBorder="1" applyAlignment="1">
      <alignment horizontal="center"/>
    </xf>
    <xf numFmtId="165" fontId="127" fillId="88" borderId="150" xfId="80" applyFont="1" applyFill="1" applyBorder="1" applyAlignment="1">
      <alignment horizontal="left" wrapText="1"/>
    </xf>
    <xf numFmtId="165" fontId="127" fillId="82" borderId="145" xfId="74" applyNumberFormat="1" applyFont="1" applyBorder="1"/>
    <xf numFmtId="165" fontId="128" fillId="82" borderId="144" xfId="80" applyFont="1" applyAlignment="1">
      <alignment wrapText="1"/>
    </xf>
    <xf numFmtId="165" fontId="128" fillId="88" borderId="145" xfId="74" applyNumberFormat="1" applyFont="1" applyFill="1" applyBorder="1"/>
    <xf numFmtId="49" fontId="127" fillId="88" borderId="145" xfId="80" applyNumberFormat="1" applyFill="1" applyBorder="1" applyAlignment="1">
      <alignment horizontal="center"/>
    </xf>
    <xf numFmtId="49" fontId="127" fillId="82" borderId="145" xfId="80" applyNumberFormat="1" applyBorder="1" applyAlignment="1">
      <alignment horizontal="center" vertical="center"/>
    </xf>
    <xf numFmtId="165" fontId="127" fillId="82" borderId="145" xfId="80" applyFont="1" applyBorder="1" applyAlignment="1">
      <alignment horizontal="center" vertical="center" wrapText="1"/>
    </xf>
    <xf numFmtId="165" fontId="127" fillId="82" borderId="150" xfId="80" applyFont="1" applyBorder="1" applyAlignment="1">
      <alignment wrapText="1"/>
    </xf>
    <xf numFmtId="165" fontId="128" fillId="82" borderId="149" xfId="80" applyFont="1" applyBorder="1" applyAlignment="1">
      <alignment wrapText="1"/>
    </xf>
    <xf numFmtId="165" fontId="127" fillId="82" borderId="149" xfId="80" applyFont="1" applyBorder="1" applyAlignment="1">
      <alignment wrapText="1"/>
    </xf>
    <xf numFmtId="49" fontId="127" fillId="82" borderId="145" xfId="80" applyNumberFormat="1" applyFont="1" applyBorder="1"/>
    <xf numFmtId="165" fontId="128" fillId="88" borderId="145" xfId="80" applyFont="1" applyFill="1" applyBorder="1" applyAlignment="1">
      <alignment wrapText="1"/>
    </xf>
    <xf numFmtId="0" fontId="128" fillId="88" borderId="145" xfId="80" applyNumberFormat="1" applyFont="1" applyFill="1" applyBorder="1" applyAlignment="1">
      <alignment horizontal="center" wrapText="1"/>
    </xf>
    <xf numFmtId="0" fontId="128" fillId="82" borderId="145" xfId="80" applyNumberFormat="1" applyFont="1" applyBorder="1" applyAlignment="1">
      <alignment horizontal="center" wrapText="1"/>
    </xf>
    <xf numFmtId="165" fontId="127" fillId="82" borderId="145" xfId="80" applyBorder="1" applyAlignment="1">
      <alignment wrapText="1"/>
    </xf>
    <xf numFmtId="165" fontId="127" fillId="82" borderId="145" xfId="80" applyBorder="1" applyAlignment="1">
      <alignment horizontal="center" wrapText="1"/>
    </xf>
    <xf numFmtId="165" fontId="127" fillId="82" borderId="145" xfId="80" applyNumberFormat="1" applyBorder="1"/>
    <xf numFmtId="165" fontId="128" fillId="82" borderId="145" xfId="80" applyFont="1" applyBorder="1" applyAlignment="1">
      <alignment horizontal="left" wrapText="1"/>
    </xf>
    <xf numFmtId="164" fontId="128" fillId="82" borderId="144" xfId="74" applyFont="1"/>
    <xf numFmtId="9" fontId="128" fillId="84" borderId="145" xfId="75" applyFont="1" applyFill="1" applyBorder="1" applyAlignment="1">
      <alignment horizontal="center"/>
    </xf>
    <xf numFmtId="165" fontId="127" fillId="82" borderId="149" xfId="80" applyFont="1" applyBorder="1" applyAlignment="1">
      <alignment horizontal="left"/>
    </xf>
    <xf numFmtId="165" fontId="127" fillId="88" borderId="145" xfId="80" applyFill="1" applyBorder="1" applyAlignment="1">
      <alignment horizontal="center"/>
    </xf>
    <xf numFmtId="0" fontId="124" fillId="82" borderId="144" xfId="72" applyNumberFormat="1"/>
    <xf numFmtId="165" fontId="124" fillId="82" borderId="145" xfId="72" applyBorder="1" applyAlignment="1">
      <alignment horizontal="center"/>
    </xf>
    <xf numFmtId="0" fontId="127" fillId="82" borderId="145" xfId="72" applyNumberFormat="1" applyFont="1" applyFill="1" applyBorder="1" applyAlignment="1">
      <alignment horizontal="center"/>
    </xf>
    <xf numFmtId="0" fontId="128" fillId="87" borderId="145" xfId="72" applyNumberFormat="1" applyFont="1" applyFill="1" applyBorder="1" applyAlignment="1">
      <alignment horizontal="center"/>
    </xf>
    <xf numFmtId="165" fontId="128" fillId="87" borderId="145" xfId="72" applyFont="1" applyFill="1" applyBorder="1" applyAlignment="1">
      <alignment horizontal="center"/>
    </xf>
    <xf numFmtId="168" fontId="128" fillId="87" borderId="145" xfId="72" applyNumberFormat="1" applyFont="1" applyFill="1" applyBorder="1" applyAlignment="1">
      <alignment horizontal="center"/>
    </xf>
    <xf numFmtId="165" fontId="128" fillId="87" borderId="145" xfId="72" applyFont="1" applyFill="1" applyBorder="1" applyAlignment="1">
      <alignment horizontal="center" wrapText="1"/>
    </xf>
    <xf numFmtId="0" fontId="128" fillId="91" borderId="145" xfId="72" applyNumberFormat="1" applyFont="1" applyFill="1" applyBorder="1" applyAlignment="1">
      <alignment horizontal="center"/>
    </xf>
    <xf numFmtId="165" fontId="128" fillId="91" borderId="145" xfId="72" applyFont="1" applyFill="1" applyBorder="1" applyAlignment="1">
      <alignment horizontal="left"/>
    </xf>
    <xf numFmtId="165" fontId="124" fillId="91" borderId="145" xfId="72" applyFill="1" applyBorder="1" applyAlignment="1">
      <alignment horizontal="center"/>
    </xf>
    <xf numFmtId="164" fontId="124" fillId="91" borderId="145" xfId="74" applyFont="1" applyFill="1" applyBorder="1"/>
    <xf numFmtId="168" fontId="128" fillId="91" borderId="145" xfId="74" applyNumberFormat="1" applyFont="1" applyFill="1" applyBorder="1"/>
    <xf numFmtId="164" fontId="134" fillId="92" borderId="145" xfId="74" applyFont="1" applyFill="1" applyBorder="1" applyAlignment="1">
      <alignment horizontal="right"/>
    </xf>
    <xf numFmtId="165" fontId="135" fillId="82" borderId="145" xfId="72" applyFont="1" applyBorder="1" applyAlignment="1">
      <alignment horizontal="right"/>
    </xf>
    <xf numFmtId="9" fontId="124" fillId="82" borderId="145" xfId="75" applyFont="1" applyBorder="1" applyAlignment="1">
      <alignment horizontal="center"/>
    </xf>
    <xf numFmtId="164" fontId="124" fillId="82" borderId="145" xfId="74" applyFont="1" applyBorder="1"/>
    <xf numFmtId="168" fontId="135" fillId="82" borderId="145" xfId="74" applyNumberFormat="1" applyFont="1" applyBorder="1" applyAlignment="1">
      <alignment horizontal="right"/>
    </xf>
    <xf numFmtId="164" fontId="135" fillId="82" borderId="145" xfId="74" applyFont="1" applyBorder="1" applyAlignment="1">
      <alignment horizontal="right"/>
    </xf>
    <xf numFmtId="165" fontId="127" fillId="82" borderId="145" xfId="72" applyFont="1" applyBorder="1" applyAlignment="1">
      <alignment horizontal="left"/>
    </xf>
    <xf numFmtId="10" fontId="124" fillId="82" borderId="145" xfId="75" applyNumberFormat="1" applyFont="1" applyBorder="1" applyAlignment="1">
      <alignment horizontal="center"/>
    </xf>
    <xf numFmtId="168" fontId="127" fillId="82" borderId="145" xfId="74" applyNumberFormat="1" applyFont="1" applyBorder="1" applyAlignment="1">
      <alignment horizontal="right"/>
    </xf>
    <xf numFmtId="164" fontId="127" fillId="82" borderId="145" xfId="74" applyFont="1" applyBorder="1" applyAlignment="1">
      <alignment horizontal="right" wrapText="1"/>
    </xf>
    <xf numFmtId="0" fontId="128" fillId="84" borderId="145" xfId="72" applyNumberFormat="1" applyFont="1" applyFill="1" applyBorder="1" applyAlignment="1">
      <alignment horizontal="center"/>
    </xf>
    <xf numFmtId="165" fontId="128" fillId="84" borderId="145" xfId="72" applyFont="1" applyFill="1" applyBorder="1"/>
    <xf numFmtId="10" fontId="124" fillId="84" borderId="145" xfId="75" applyNumberFormat="1" applyFont="1" applyFill="1" applyBorder="1" applyAlignment="1">
      <alignment horizontal="center"/>
    </xf>
    <xf numFmtId="10" fontId="128" fillId="84" borderId="145" xfId="75" applyNumberFormat="1" applyFont="1" applyFill="1" applyBorder="1" applyAlignment="1">
      <alignment horizontal="center"/>
    </xf>
    <xf numFmtId="168" fontId="128" fillId="84" borderId="145" xfId="74" applyNumberFormat="1" applyFont="1" applyFill="1" applyBorder="1"/>
    <xf numFmtId="164" fontId="128" fillId="84" borderId="145" xfId="72" applyNumberFormat="1" applyFont="1" applyFill="1" applyBorder="1" applyAlignment="1">
      <alignment wrapText="1"/>
    </xf>
    <xf numFmtId="10" fontId="124" fillId="82" borderId="145" xfId="75" applyNumberFormat="1" applyFont="1" applyBorder="1"/>
    <xf numFmtId="168" fontId="127" fillId="88" borderId="145" xfId="74" applyNumberFormat="1" applyFont="1" applyFill="1" applyBorder="1" applyAlignment="1">
      <alignment horizontal="right"/>
    </xf>
    <xf numFmtId="164" fontId="124" fillId="82" borderId="145" xfId="74" applyFont="1" applyBorder="1" applyAlignment="1">
      <alignment wrapText="1"/>
    </xf>
    <xf numFmtId="0" fontId="128" fillId="93" borderId="145" xfId="72" applyNumberFormat="1" applyFont="1" applyFill="1" applyBorder="1" applyAlignment="1">
      <alignment horizontal="center"/>
    </xf>
    <xf numFmtId="165" fontId="128" fillId="93" borderId="145" xfId="72" applyFont="1" applyFill="1" applyBorder="1"/>
    <xf numFmtId="9" fontId="128" fillId="93" borderId="145" xfId="75" applyFont="1" applyFill="1" applyBorder="1" applyAlignment="1">
      <alignment horizontal="center"/>
    </xf>
    <xf numFmtId="169" fontId="128" fillId="93" borderId="145" xfId="75" applyNumberFormat="1" applyFont="1" applyFill="1" applyBorder="1" applyAlignment="1">
      <alignment horizontal="center"/>
    </xf>
    <xf numFmtId="168" fontId="128" fillId="93" borderId="145" xfId="74" applyNumberFormat="1" applyFont="1" applyFill="1" applyBorder="1"/>
    <xf numFmtId="164" fontId="128" fillId="93" borderId="145" xfId="72" applyNumberFormat="1" applyFont="1" applyFill="1" applyBorder="1" applyAlignment="1">
      <alignment wrapText="1"/>
    </xf>
    <xf numFmtId="10" fontId="128" fillId="82" borderId="145" xfId="75" applyNumberFormat="1" applyFont="1" applyBorder="1"/>
    <xf numFmtId="168" fontId="128" fillId="82" borderId="145" xfId="74" applyNumberFormat="1" applyFont="1" applyBorder="1"/>
    <xf numFmtId="165" fontId="127" fillId="82" borderId="145" xfId="72" applyFont="1" applyBorder="1" applyAlignment="1">
      <alignment horizontal="right"/>
    </xf>
    <xf numFmtId="164" fontId="124" fillId="82" borderId="145" xfId="72" applyNumberFormat="1" applyBorder="1"/>
    <xf numFmtId="168" fontId="124" fillId="82" borderId="145" xfId="74" applyNumberFormat="1" applyFont="1" applyBorder="1"/>
    <xf numFmtId="168" fontId="128" fillId="93" borderId="145" xfId="72" applyNumberFormat="1" applyFont="1" applyFill="1" applyBorder="1"/>
    <xf numFmtId="168" fontId="124" fillId="82" borderId="145" xfId="72" applyNumberFormat="1" applyBorder="1"/>
    <xf numFmtId="165" fontId="124" fillId="82" borderId="145" xfId="72" applyBorder="1" applyAlignment="1">
      <alignment horizontal="right"/>
    </xf>
    <xf numFmtId="168" fontId="124" fillId="82" borderId="144" xfId="72" applyNumberFormat="1"/>
    <xf numFmtId="165" fontId="124" fillId="82" borderId="144" xfId="72" applyAlignment="1">
      <alignment wrapText="1"/>
    </xf>
    <xf numFmtId="0" fontId="127" fillId="90" borderId="145" xfId="80" applyNumberFormat="1" applyFont="1" applyFill="1" applyBorder="1" applyAlignment="1">
      <alignment horizontal="center"/>
    </xf>
    <xf numFmtId="165" fontId="127" fillId="90" borderId="146" xfId="80" applyFont="1" applyFill="1" applyBorder="1" applyAlignment="1">
      <alignment wrapText="1"/>
    </xf>
    <xf numFmtId="49" fontId="127" fillId="82" borderId="145" xfId="72" applyNumberFormat="1" applyFont="1" applyBorder="1" applyAlignment="1">
      <alignment horizontal="center"/>
    </xf>
    <xf numFmtId="165" fontId="127" fillId="88" borderId="145" xfId="72" applyFont="1" applyFill="1" applyBorder="1" applyAlignment="1">
      <alignment wrapText="1"/>
    </xf>
    <xf numFmtId="0" fontId="127" fillId="90" borderId="149" xfId="80" applyNumberFormat="1" applyFont="1" applyFill="1" applyBorder="1" applyAlignment="1">
      <alignment horizontal="center"/>
    </xf>
    <xf numFmtId="0" fontId="128" fillId="90" borderId="149" xfId="80" applyNumberFormat="1" applyFont="1" applyFill="1" applyBorder="1" applyAlignment="1">
      <alignment horizontal="center"/>
    </xf>
    <xf numFmtId="49" fontId="124" fillId="82" borderId="144" xfId="72" applyNumberFormat="1"/>
    <xf numFmtId="0" fontId="127" fillId="88" borderId="149" xfId="80" applyNumberFormat="1" applyFont="1" applyFill="1" applyBorder="1" applyAlignment="1">
      <alignment horizontal="center" vertical="center"/>
    </xf>
    <xf numFmtId="165" fontId="127" fillId="82" borderId="149" xfId="80" applyBorder="1" applyAlignment="1">
      <alignment horizontal="center" vertical="center"/>
    </xf>
    <xf numFmtId="165" fontId="127" fillId="82" borderId="145" xfId="80" applyFont="1" applyBorder="1" applyAlignment="1">
      <alignment vertical="center" wrapText="1"/>
    </xf>
    <xf numFmtId="165" fontId="127" fillId="82" borderId="145" xfId="80" applyBorder="1" applyAlignment="1">
      <alignment horizontal="center" vertical="center"/>
    </xf>
    <xf numFmtId="165" fontId="127" fillId="82" borderId="146" xfId="80" applyFont="1" applyBorder="1" applyAlignment="1">
      <alignment horizontal="center" vertical="center" wrapText="1"/>
    </xf>
    <xf numFmtId="165" fontId="124" fillId="82" borderId="145" xfId="74" applyNumberFormat="1" applyFont="1" applyBorder="1" applyAlignment="1">
      <alignment vertical="center"/>
    </xf>
    <xf numFmtId="9" fontId="124" fillId="84" borderId="145" xfId="75" applyFont="1" applyFill="1" applyBorder="1" applyAlignment="1">
      <alignment horizontal="center" vertical="center"/>
    </xf>
    <xf numFmtId="165" fontId="124" fillId="88" borderId="145" xfId="74" applyNumberFormat="1" applyFont="1" applyFill="1" applyBorder="1" applyAlignment="1">
      <alignment vertical="center"/>
    </xf>
    <xf numFmtId="165" fontId="127" fillId="82" borderId="144" xfId="80" applyAlignment="1">
      <alignment vertical="center"/>
    </xf>
    <xf numFmtId="0" fontId="127" fillId="90" borderId="149" xfId="80" applyNumberFormat="1" applyFont="1" applyFill="1" applyBorder="1" applyAlignment="1">
      <alignment horizontal="center" vertical="center"/>
    </xf>
    <xf numFmtId="165" fontId="127" fillId="88" borderId="149" xfId="80" applyFill="1" applyBorder="1" applyAlignment="1">
      <alignment horizontal="center" vertical="center"/>
    </xf>
    <xf numFmtId="0" fontId="127" fillId="88" borderId="145" xfId="80" applyNumberFormat="1" applyFont="1" applyFill="1" applyBorder="1" applyAlignment="1">
      <alignment horizontal="center" vertical="center"/>
    </xf>
    <xf numFmtId="0" fontId="128" fillId="88" borderId="149" xfId="80" applyNumberFormat="1" applyFont="1" applyFill="1" applyBorder="1" applyAlignment="1">
      <alignment horizontal="center" vertical="center"/>
    </xf>
    <xf numFmtId="165" fontId="128" fillId="82" borderId="149" xfId="80" applyFont="1" applyBorder="1" applyAlignment="1">
      <alignment horizontal="center" vertical="center"/>
    </xf>
    <xf numFmtId="49" fontId="127" fillId="82" borderId="145" xfId="80" applyNumberFormat="1" applyBorder="1" applyAlignment="1">
      <alignment vertical="center"/>
    </xf>
    <xf numFmtId="0" fontId="127" fillId="82" borderId="145" xfId="80" applyNumberFormat="1" applyBorder="1" applyAlignment="1">
      <alignment horizontal="center" vertical="center"/>
    </xf>
    <xf numFmtId="164" fontId="124" fillId="82" borderId="144" xfId="74" applyFont="1" applyAlignment="1">
      <alignment vertical="center"/>
    </xf>
    <xf numFmtId="0" fontId="136" fillId="82" borderId="144" xfId="76" applyFont="1"/>
    <xf numFmtId="164" fontId="136" fillId="82" borderId="144" xfId="74" applyFont="1"/>
    <xf numFmtId="0" fontId="136" fillId="82" borderId="144" xfId="76" applyFont="1" applyAlignment="1">
      <alignment horizontal="center" vertical="center"/>
    </xf>
    <xf numFmtId="168" fontId="136" fillId="82" borderId="144" xfId="76" applyNumberFormat="1" applyFont="1"/>
    <xf numFmtId="9" fontId="124" fillId="82" borderId="145" xfId="75" applyFont="1" applyBorder="1"/>
    <xf numFmtId="10" fontId="124" fillId="82" borderId="145" xfId="75" applyNumberFormat="1" applyFont="1" applyBorder="1" applyAlignment="1">
      <alignment horizontal="center" vertical="center"/>
    </xf>
    <xf numFmtId="10" fontId="124" fillId="82" borderId="144" xfId="75" applyNumberFormat="1" applyFont="1"/>
    <xf numFmtId="165" fontId="127" fillId="82" borderId="144" xfId="72" applyFont="1"/>
    <xf numFmtId="164" fontId="124" fillId="82" borderId="145" xfId="74" applyFont="1" applyBorder="1" applyAlignment="1">
      <alignment vertical="center" wrapText="1"/>
    </xf>
    <xf numFmtId="0" fontId="137" fillId="82" borderId="145" xfId="76" applyFont="1" applyBorder="1" applyAlignment="1">
      <alignment horizontal="center" vertical="center"/>
    </xf>
    <xf numFmtId="0" fontId="136" fillId="82" borderId="144" xfId="74" applyNumberFormat="1" applyFont="1" applyAlignment="1">
      <alignment horizontal="center" vertical="center"/>
    </xf>
    <xf numFmtId="0" fontId="137" fillId="82" borderId="145" xfId="76" applyNumberFormat="1" applyFont="1" applyBorder="1" applyAlignment="1">
      <alignment horizontal="center" vertical="center"/>
    </xf>
    <xf numFmtId="0" fontId="136" fillId="82" borderId="145" xfId="76" applyFont="1" applyBorder="1" applyAlignment="1">
      <alignment horizontal="center" vertical="center"/>
    </xf>
    <xf numFmtId="0" fontId="136" fillId="82" borderId="145" xfId="76" applyFont="1" applyBorder="1" applyAlignment="1">
      <alignment horizontal="left" vertical="center"/>
    </xf>
    <xf numFmtId="0" fontId="136" fillId="82" borderId="145" xfId="74" applyNumberFormat="1" applyFont="1" applyBorder="1" applyAlignment="1">
      <alignment horizontal="center" vertical="center"/>
    </xf>
    <xf numFmtId="0" fontId="137" fillId="82" borderId="145" xfId="76" applyFont="1" applyBorder="1" applyAlignment="1">
      <alignment horizontal="center" vertical="center" wrapText="1"/>
    </xf>
    <xf numFmtId="164" fontId="136" fillId="82" borderId="145" xfId="74" applyFont="1" applyBorder="1"/>
    <xf numFmtId="165" fontId="137" fillId="82" borderId="145" xfId="72" applyFont="1" applyBorder="1" applyAlignment="1">
      <alignment horizontal="center" vertical="center"/>
    </xf>
    <xf numFmtId="0" fontId="137" fillId="82" borderId="145" xfId="72" applyNumberFormat="1" applyFont="1" applyBorder="1" applyAlignment="1">
      <alignment horizontal="center" vertical="center"/>
    </xf>
    <xf numFmtId="165" fontId="136" fillId="82" borderId="145" xfId="72" applyFont="1" applyBorder="1" applyAlignment="1">
      <alignment horizontal="left" vertical="center"/>
    </xf>
    <xf numFmtId="165" fontId="136" fillId="82" borderId="145" xfId="72" applyFont="1" applyBorder="1" applyAlignment="1">
      <alignment horizontal="center" vertical="center"/>
    </xf>
    <xf numFmtId="0" fontId="136" fillId="82" borderId="145" xfId="72" applyNumberFormat="1" applyFont="1" applyBorder="1" applyAlignment="1">
      <alignment horizontal="center" vertical="center"/>
    </xf>
    <xf numFmtId="0" fontId="127" fillId="88" borderId="145" xfId="80" applyNumberFormat="1" applyFont="1" applyFill="1" applyBorder="1" applyAlignment="1">
      <alignment wrapText="1"/>
    </xf>
    <xf numFmtId="165" fontId="124" fillId="85" borderId="145" xfId="72" applyFill="1" applyBorder="1"/>
    <xf numFmtId="10" fontId="124" fillId="82" borderId="157" xfId="75" applyNumberFormat="1" applyFont="1" applyBorder="1" applyAlignment="1">
      <alignment horizontal="center" vertical="center"/>
    </xf>
    <xf numFmtId="10" fontId="124" fillId="82" borderId="158" xfId="75" applyNumberFormat="1" applyFont="1" applyBorder="1" applyAlignment="1">
      <alignment horizontal="center" vertical="center"/>
    </xf>
    <xf numFmtId="10" fontId="124" fillId="82" borderId="149" xfId="75" applyNumberFormat="1" applyFont="1" applyBorder="1" applyAlignment="1">
      <alignment horizontal="center" vertical="center"/>
    </xf>
    <xf numFmtId="164" fontId="124" fillId="82" borderId="157" xfId="74" applyFont="1" applyBorder="1" applyAlignment="1">
      <alignment horizontal="center" vertical="center" wrapText="1"/>
    </xf>
    <xf numFmtId="164" fontId="124" fillId="82" borderId="158" xfId="74" applyFont="1" applyBorder="1" applyAlignment="1">
      <alignment horizontal="center" vertical="center" wrapText="1"/>
    </xf>
    <xf numFmtId="164" fontId="124" fillId="82" borderId="149" xfId="74" applyFont="1" applyBorder="1" applyAlignment="1">
      <alignment horizontal="center" vertical="center" wrapText="1"/>
    </xf>
    <xf numFmtId="165" fontId="137" fillId="82" borderId="145" xfId="72" applyFont="1" applyBorder="1" applyAlignment="1">
      <alignment horizontal="center" vertical="center"/>
    </xf>
    <xf numFmtId="165" fontId="137" fillId="82" borderId="146" xfId="72" applyFont="1" applyBorder="1" applyAlignment="1">
      <alignment horizontal="center" vertical="center"/>
    </xf>
    <xf numFmtId="165" fontId="137" fillId="82" borderId="159" xfId="72" applyFont="1" applyBorder="1" applyAlignment="1">
      <alignment horizontal="center" vertical="center"/>
    </xf>
    <xf numFmtId="165" fontId="137" fillId="82" borderId="151" xfId="72" applyFont="1" applyBorder="1" applyAlignment="1">
      <alignment horizontal="center" vertical="center"/>
    </xf>
    <xf numFmtId="10" fontId="132" fillId="82" borderId="152" xfId="75" applyNumberFormat="1" applyFont="1" applyFill="1" applyBorder="1" applyAlignment="1">
      <alignment horizontal="center" vertical="center" wrapText="1"/>
    </xf>
    <xf numFmtId="10" fontId="124" fillId="82" borderId="153" xfId="75" applyNumberFormat="1" applyFont="1" applyBorder="1" applyAlignment="1">
      <alignment horizontal="center" vertical="center"/>
    </xf>
    <xf numFmtId="10" fontId="124" fillId="82" borderId="154" xfId="75" applyNumberFormat="1" applyFont="1" applyBorder="1" applyAlignment="1">
      <alignment horizontal="center" vertical="center"/>
    </xf>
    <xf numFmtId="10" fontId="124" fillId="82" borderId="155" xfId="75" applyNumberFormat="1" applyFont="1" applyBorder="1" applyAlignment="1">
      <alignment horizontal="center" vertical="center"/>
    </xf>
    <xf numFmtId="10" fontId="124" fillId="82" borderId="150" xfId="75" applyNumberFormat="1" applyFont="1" applyBorder="1" applyAlignment="1">
      <alignment horizontal="center" vertical="center"/>
    </xf>
    <xf numFmtId="10" fontId="124" fillId="82" borderId="156" xfId="75" applyNumberFormat="1" applyFont="1" applyBorder="1" applyAlignment="1">
      <alignment horizontal="center" vertical="center"/>
    </xf>
    <xf numFmtId="10" fontId="132" fillId="82" borderId="146" xfId="75" applyNumberFormat="1" applyFont="1" applyFill="1" applyBorder="1" applyAlignment="1">
      <alignment horizontal="center" vertical="center"/>
    </xf>
    <xf numFmtId="10" fontId="124" fillId="82" borderId="151" xfId="75" applyNumberFormat="1" applyFont="1" applyBorder="1" applyAlignment="1">
      <alignment horizontal="center" vertical="center"/>
    </xf>
    <xf numFmtId="165" fontId="138" fillId="94" borderId="160" xfId="84"/>
    <xf numFmtId="165" fontId="138" fillId="94" borderId="160" xfId="84" applyAlignment="1">
      <alignment horizontal="center"/>
    </xf>
    <xf numFmtId="165" fontId="138" fillId="94" borderId="161" xfId="84" applyBorder="1"/>
    <xf numFmtId="165" fontId="142" fillId="94" borderId="161" xfId="84" applyFont="1" applyBorder="1"/>
    <xf numFmtId="165" fontId="141" fillId="94" borderId="161" xfId="84" applyFont="1" applyBorder="1" applyAlignment="1">
      <alignment wrapText="1"/>
    </xf>
    <xf numFmtId="0" fontId="138" fillId="94" borderId="161" xfId="84" applyNumberFormat="1" applyBorder="1" applyAlignment="1">
      <alignment horizontal="center"/>
    </xf>
    <xf numFmtId="0" fontId="138" fillId="94" borderId="160" xfId="84" applyNumberFormat="1" applyAlignment="1">
      <alignment horizontal="center"/>
    </xf>
    <xf numFmtId="0" fontId="142" fillId="94" borderId="161" xfId="84" applyNumberFormat="1" applyFont="1" applyBorder="1" applyAlignment="1">
      <alignment horizontal="center"/>
    </xf>
    <xf numFmtId="165" fontId="141" fillId="94" borderId="161" xfId="84" applyFont="1" applyBorder="1"/>
    <xf numFmtId="165" fontId="138" fillId="94" borderId="161" xfId="84" applyBorder="1" applyAlignment="1">
      <alignment wrapText="1"/>
    </xf>
    <xf numFmtId="165" fontId="142" fillId="98" borderId="161" xfId="84" applyFont="1" applyFill="1" applyBorder="1" applyAlignment="1">
      <alignment wrapText="1"/>
    </xf>
    <xf numFmtId="165" fontId="142" fillId="98" borderId="161" xfId="84" applyFont="1" applyFill="1" applyBorder="1" applyAlignment="1">
      <alignment horizontal="center"/>
    </xf>
    <xf numFmtId="165" fontId="142" fillId="94" borderId="160" xfId="84" applyFont="1"/>
    <xf numFmtId="165" fontId="138" fillId="94" borderId="161" xfId="84" applyFont="1" applyFill="1" applyBorder="1" applyAlignment="1">
      <alignment wrapText="1"/>
    </xf>
    <xf numFmtId="165" fontId="142" fillId="98" borderId="161" xfId="84" applyFont="1" applyFill="1" applyBorder="1" applyAlignment="1">
      <alignment horizontal="center" wrapText="1"/>
    </xf>
    <xf numFmtId="165" fontId="141" fillId="94" borderId="161" xfId="84" applyFont="1" applyFill="1" applyBorder="1" applyAlignment="1">
      <alignment wrapText="1"/>
    </xf>
    <xf numFmtId="165" fontId="141" fillId="94" borderId="161" xfId="84" applyFont="1" applyBorder="1" applyAlignment="1">
      <alignment horizontal="center" vertical="center" wrapText="1"/>
    </xf>
    <xf numFmtId="165" fontId="141" fillId="94" borderId="161" xfId="84" applyFont="1" applyFill="1" applyBorder="1" applyAlignment="1">
      <alignment horizontal="center" vertical="center" wrapText="1"/>
    </xf>
    <xf numFmtId="0" fontId="141" fillId="94" borderId="161" xfId="92" applyNumberFormat="1" applyFont="1" applyFill="1" applyBorder="1" applyAlignment="1">
      <alignment horizontal="center"/>
    </xf>
    <xf numFmtId="165" fontId="138" fillId="99" borderId="161" xfId="84" applyFill="1" applyBorder="1" applyAlignment="1">
      <alignment horizontal="center"/>
    </xf>
    <xf numFmtId="164" fontId="138" fillId="99" borderId="161" xfId="86" applyFont="1" applyFill="1" applyBorder="1" applyAlignment="1">
      <alignment horizontal="center"/>
    </xf>
    <xf numFmtId="9" fontId="138" fillId="99" borderId="161" xfId="87" applyFont="1" applyFill="1" applyBorder="1" applyAlignment="1">
      <alignment horizontal="center"/>
    </xf>
    <xf numFmtId="0" fontId="138" fillId="99" borderId="161" xfId="84" applyNumberFormat="1" applyFill="1" applyBorder="1" applyAlignment="1">
      <alignment horizontal="center"/>
    </xf>
    <xf numFmtId="9" fontId="138" fillId="94" borderId="160" xfId="87" applyFont="1"/>
    <xf numFmtId="165" fontId="138" fillId="94" borderId="161" xfId="86" applyNumberFormat="1" applyFont="1" applyBorder="1"/>
    <xf numFmtId="9" fontId="138" fillId="96" borderId="161" xfId="87" applyFont="1" applyFill="1" applyBorder="1" applyAlignment="1">
      <alignment horizontal="center"/>
    </xf>
    <xf numFmtId="165" fontId="138" fillId="94" borderId="161" xfId="86" applyNumberFormat="1" applyFont="1" applyFill="1" applyBorder="1"/>
    <xf numFmtId="165" fontId="142" fillId="94" borderId="161" xfId="86" applyNumberFormat="1" applyFont="1" applyBorder="1"/>
    <xf numFmtId="165" fontId="141" fillId="94" borderId="161" xfId="92" applyFont="1" applyBorder="1" applyAlignment="1">
      <alignment horizontal="center" wrapText="1"/>
    </xf>
    <xf numFmtId="165" fontId="141" fillId="94" borderId="161" xfId="92" applyFont="1" applyBorder="1" applyAlignment="1">
      <alignment horizontal="center"/>
    </xf>
    <xf numFmtId="165" fontId="141" fillId="94" borderId="161" xfId="92" applyFont="1" applyBorder="1" applyAlignment="1">
      <alignment wrapText="1"/>
    </xf>
    <xf numFmtId="9" fontId="142" fillId="101" borderId="161" xfId="87" applyFont="1" applyFill="1" applyBorder="1" applyAlignment="1">
      <alignment horizontal="center"/>
    </xf>
    <xf numFmtId="9" fontId="146" fillId="94" borderId="165" xfId="87" applyFont="1" applyFill="1" applyBorder="1" applyAlignment="1">
      <alignment horizontal="center"/>
    </xf>
    <xf numFmtId="164" fontId="138" fillId="94" borderId="160" xfId="86" applyFont="1"/>
    <xf numFmtId="0" fontId="145" fillId="97" borderId="163" xfId="92" applyNumberFormat="1" applyFont="1" applyFill="1" applyBorder="1" applyAlignment="1">
      <alignment horizontal="center"/>
    </xf>
    <xf numFmtId="165" fontId="145" fillId="97" borderId="164" xfId="92" applyFont="1" applyFill="1" applyBorder="1" applyAlignment="1">
      <alignment horizontal="center"/>
    </xf>
    <xf numFmtId="165" fontId="146" fillId="97" borderId="164" xfId="92" applyFont="1" applyFill="1" applyBorder="1" applyAlignment="1">
      <alignment horizontal="left" wrapText="1"/>
    </xf>
    <xf numFmtId="165" fontId="146" fillId="97" borderId="164" xfId="92" applyFont="1" applyFill="1" applyBorder="1" applyAlignment="1">
      <alignment horizontal="center"/>
    </xf>
    <xf numFmtId="165" fontId="146" fillId="97" borderId="164" xfId="92" applyFont="1" applyFill="1" applyBorder="1" applyAlignment="1">
      <alignment horizontal="center" wrapText="1"/>
    </xf>
    <xf numFmtId="0" fontId="146" fillId="97" borderId="164" xfId="92" applyNumberFormat="1" applyFont="1" applyFill="1" applyBorder="1" applyAlignment="1">
      <alignment horizontal="center"/>
    </xf>
    <xf numFmtId="165" fontId="146" fillId="94" borderId="160" xfId="92" applyFont="1"/>
    <xf numFmtId="0" fontId="141" fillId="94" borderId="161" xfId="92" applyNumberFormat="1" applyFont="1" applyBorder="1" applyAlignment="1">
      <alignment horizontal="center" wrapText="1"/>
    </xf>
    <xf numFmtId="165" fontId="141" fillId="100" borderId="161" xfId="92" applyFont="1" applyFill="1" applyBorder="1" applyAlignment="1">
      <alignment wrapText="1"/>
    </xf>
    <xf numFmtId="165" fontId="146" fillId="94" borderId="165" xfId="92" applyFont="1" applyFill="1" applyBorder="1" applyAlignment="1">
      <alignment horizontal="left" wrapText="1"/>
    </xf>
    <xf numFmtId="165" fontId="146" fillId="94" borderId="165" xfId="92" applyFont="1" applyFill="1" applyBorder="1" applyAlignment="1">
      <alignment horizontal="center"/>
    </xf>
    <xf numFmtId="165" fontId="146" fillId="94" borderId="160" xfId="92" applyFont="1" applyFill="1"/>
    <xf numFmtId="0" fontId="142" fillId="101" borderId="161" xfId="92" applyNumberFormat="1" applyFont="1" applyFill="1" applyBorder="1" applyAlignment="1">
      <alignment horizontal="center"/>
    </xf>
    <xf numFmtId="165" fontId="142" fillId="101" borderId="161" xfId="92" applyFont="1" applyFill="1" applyBorder="1" applyAlignment="1">
      <alignment horizontal="center"/>
    </xf>
    <xf numFmtId="165" fontId="142" fillId="101" borderId="161" xfId="92" applyFont="1" applyFill="1" applyBorder="1" applyAlignment="1">
      <alignment horizontal="center" wrapText="1"/>
    </xf>
    <xf numFmtId="167" fontId="142" fillId="101" borderId="161" xfId="92" applyNumberFormat="1" applyFont="1" applyFill="1" applyBorder="1" applyAlignment="1">
      <alignment horizontal="center"/>
    </xf>
    <xf numFmtId="165" fontId="141" fillId="94" borderId="160" xfId="92"/>
    <xf numFmtId="165" fontId="142" fillId="94" borderId="165" xfId="92" applyFont="1" applyBorder="1" applyAlignment="1">
      <alignment horizontal="center"/>
    </xf>
    <xf numFmtId="165" fontId="141" fillId="94" borderId="161" xfId="92" applyFont="1" applyBorder="1" applyAlignment="1">
      <alignment horizontal="left" wrapText="1"/>
    </xf>
    <xf numFmtId="165" fontId="141" fillId="94" borderId="161" xfId="92" applyBorder="1" applyAlignment="1">
      <alignment horizontal="center"/>
    </xf>
    <xf numFmtId="0" fontId="141" fillId="94" borderId="161" xfId="92" applyNumberFormat="1" applyBorder="1" applyAlignment="1">
      <alignment horizontal="center"/>
    </xf>
    <xf numFmtId="165" fontId="141" fillId="94" borderId="161" xfId="92" applyFont="1" applyBorder="1" applyAlignment="1">
      <alignment horizontal="center" vertical="center"/>
    </xf>
    <xf numFmtId="0" fontId="141" fillId="100" borderId="161" xfId="92" applyNumberFormat="1" applyFont="1" applyFill="1" applyBorder="1" applyAlignment="1">
      <alignment horizontal="center"/>
    </xf>
    <xf numFmtId="165" fontId="141" fillId="94" borderId="160" xfId="92" applyNumberFormat="1"/>
    <xf numFmtId="165" fontId="141" fillId="94" borderId="161" xfId="92" applyFont="1" applyBorder="1"/>
    <xf numFmtId="165" fontId="141" fillId="94" borderId="165" xfId="92" applyBorder="1" applyAlignment="1">
      <alignment horizontal="center"/>
    </xf>
    <xf numFmtId="165" fontId="141" fillId="100" borderId="161" xfId="92" applyFont="1" applyFill="1" applyBorder="1" applyAlignment="1">
      <alignment horizontal="center"/>
    </xf>
    <xf numFmtId="165" fontId="142" fillId="100" borderId="165" xfId="92" applyFont="1" applyFill="1" applyBorder="1" applyAlignment="1">
      <alignment wrapText="1"/>
    </xf>
    <xf numFmtId="164" fontId="141" fillId="94" borderId="160" xfId="86"/>
    <xf numFmtId="165" fontId="141" fillId="94" borderId="162" xfId="92" applyFont="1" applyFill="1" applyBorder="1" applyAlignment="1">
      <alignment wrapText="1"/>
    </xf>
    <xf numFmtId="0" fontId="142" fillId="94" borderId="160" xfId="92" applyNumberFormat="1" applyFont="1" applyAlignment="1">
      <alignment horizontal="center"/>
    </xf>
    <xf numFmtId="165" fontId="141" fillId="94" borderId="160" xfId="92" applyAlignment="1">
      <alignment horizontal="center"/>
    </xf>
    <xf numFmtId="165" fontId="141" fillId="94" borderId="160" xfId="92" applyAlignment="1">
      <alignment wrapText="1"/>
    </xf>
    <xf numFmtId="165" fontId="141" fillId="94" borderId="160" xfId="92" applyAlignment="1">
      <alignment horizontal="center" wrapText="1"/>
    </xf>
    <xf numFmtId="0" fontId="141" fillId="94" borderId="160" xfId="92" applyNumberFormat="1" applyAlignment="1">
      <alignment horizontal="center"/>
    </xf>
    <xf numFmtId="167" fontId="141" fillId="94" borderId="160" xfId="92" applyNumberFormat="1"/>
    <xf numFmtId="0" fontId="142" fillId="100" borderId="165" xfId="92" applyNumberFormat="1" applyFont="1" applyFill="1" applyBorder="1" applyAlignment="1">
      <alignment horizontal="center"/>
    </xf>
    <xf numFmtId="0" fontId="141" fillId="100" borderId="165" xfId="92" applyNumberFormat="1" applyFont="1" applyFill="1" applyBorder="1" applyAlignment="1">
      <alignment horizontal="center"/>
    </xf>
    <xf numFmtId="165" fontId="141" fillId="100" borderId="161" xfId="92" applyFont="1" applyFill="1" applyBorder="1" applyAlignment="1">
      <alignment vertical="center" wrapText="1"/>
    </xf>
    <xf numFmtId="165" fontId="141" fillId="94" borderId="162" xfId="84" applyFont="1" applyBorder="1" applyAlignment="1">
      <alignment horizontal="center" wrapText="1"/>
    </xf>
    <xf numFmtId="165" fontId="138" fillId="100" borderId="161" xfId="86" applyNumberFormat="1" applyFont="1" applyFill="1" applyBorder="1"/>
    <xf numFmtId="164" fontId="146" fillId="94" borderId="160" xfId="86" applyFont="1"/>
    <xf numFmtId="165" fontId="141" fillId="94" borderId="162" xfId="92" applyFont="1" applyBorder="1" applyAlignment="1">
      <alignment horizontal="center" wrapText="1"/>
    </xf>
    <xf numFmtId="165" fontId="145" fillId="97" borderId="164" xfId="92" applyFont="1" applyFill="1" applyBorder="1" applyAlignment="1">
      <alignment wrapText="1"/>
    </xf>
    <xf numFmtId="164" fontId="146" fillId="97" borderId="164" xfId="86" applyFont="1" applyFill="1" applyBorder="1"/>
    <xf numFmtId="165" fontId="145" fillId="97" borderId="161" xfId="86" applyNumberFormat="1" applyFont="1" applyFill="1" applyBorder="1"/>
    <xf numFmtId="10" fontId="145" fillId="97" borderId="161" xfId="87" applyNumberFormat="1" applyFont="1" applyFill="1" applyBorder="1" applyAlignment="1">
      <alignment horizontal="center"/>
    </xf>
    <xf numFmtId="164" fontId="145" fillId="97" borderId="161" xfId="86" applyFont="1" applyFill="1" applyBorder="1"/>
    <xf numFmtId="164" fontId="145" fillId="94" borderId="166" xfId="86" applyFont="1" applyFill="1" applyBorder="1" applyAlignment="1">
      <alignment wrapText="1"/>
    </xf>
    <xf numFmtId="164" fontId="146" fillId="94" borderId="165" xfId="86" applyFont="1" applyFill="1" applyBorder="1" applyAlignment="1">
      <alignment horizontal="center"/>
    </xf>
    <xf numFmtId="165" fontId="146" fillId="94" borderId="161" xfId="86" applyNumberFormat="1" applyFont="1" applyFill="1" applyBorder="1"/>
    <xf numFmtId="9" fontId="146" fillId="94" borderId="161" xfId="87" applyFont="1" applyFill="1" applyBorder="1" applyAlignment="1">
      <alignment horizontal="center"/>
    </xf>
    <xf numFmtId="164" fontId="146" fillId="94" borderId="161" xfId="86" applyFont="1" applyFill="1" applyBorder="1"/>
    <xf numFmtId="165" fontId="147" fillId="94" borderId="160" xfId="92" applyFont="1"/>
    <xf numFmtId="2" fontId="141" fillId="94" borderId="161" xfId="92" applyNumberFormat="1" applyFont="1" applyBorder="1" applyAlignment="1">
      <alignment wrapText="1"/>
    </xf>
    <xf numFmtId="165" fontId="141" fillId="94" borderId="173" xfId="92" applyFont="1" applyBorder="1" applyAlignment="1">
      <alignment wrapText="1"/>
    </xf>
    <xf numFmtId="165" fontId="142" fillId="94" borderId="161" xfId="92" applyFont="1" applyBorder="1" applyAlignment="1">
      <alignment wrapText="1"/>
    </xf>
    <xf numFmtId="49" fontId="141" fillId="94" borderId="161" xfId="92" applyNumberFormat="1" applyBorder="1" applyAlignment="1">
      <alignment horizontal="center"/>
    </xf>
    <xf numFmtId="165" fontId="141" fillId="100" borderId="165" xfId="92" applyFill="1" applyBorder="1" applyAlignment="1">
      <alignment horizontal="center"/>
    </xf>
    <xf numFmtId="49" fontId="141" fillId="94" borderId="161" xfId="92" applyNumberFormat="1" applyBorder="1"/>
    <xf numFmtId="49" fontId="141" fillId="94" borderId="161" xfId="92" applyNumberFormat="1" applyFont="1" applyBorder="1" applyAlignment="1">
      <alignment horizontal="center"/>
    </xf>
    <xf numFmtId="165" fontId="141" fillId="100" borderId="161" xfId="86" applyNumberFormat="1" applyFont="1" applyFill="1" applyBorder="1"/>
    <xf numFmtId="165" fontId="142" fillId="94" borderId="166" xfId="92" applyFont="1" applyBorder="1" applyAlignment="1">
      <alignment wrapText="1"/>
    </xf>
    <xf numFmtId="0" fontId="142" fillId="94" borderId="161" xfId="92" applyNumberFormat="1" applyFont="1" applyBorder="1" applyAlignment="1">
      <alignment horizontal="center"/>
    </xf>
    <xf numFmtId="165" fontId="141" fillId="100" borderId="161" xfId="92" applyFont="1" applyFill="1" applyBorder="1" applyAlignment="1">
      <alignment horizontal="left" wrapText="1"/>
    </xf>
    <xf numFmtId="165" fontId="141" fillId="100" borderId="161" xfId="92" applyFont="1" applyFill="1" applyBorder="1" applyAlignment="1">
      <alignment horizontal="center" wrapText="1"/>
    </xf>
    <xf numFmtId="0" fontId="141" fillId="100" borderId="161" xfId="92" applyNumberFormat="1" applyFill="1" applyBorder="1" applyAlignment="1">
      <alignment horizontal="center"/>
    </xf>
    <xf numFmtId="165" fontId="141" fillId="100" borderId="166" xfId="92" applyFont="1" applyFill="1" applyBorder="1" applyAlignment="1">
      <alignment horizontal="left" wrapText="1"/>
    </xf>
    <xf numFmtId="165" fontId="141" fillId="94" borderId="161" xfId="86" applyNumberFormat="1" applyFont="1" applyBorder="1"/>
    <xf numFmtId="165" fontId="142" fillId="94" borderId="160" xfId="92" applyFont="1" applyAlignment="1">
      <alignment wrapText="1"/>
    </xf>
    <xf numFmtId="165" fontId="142" fillId="100" borderId="161" xfId="86" applyNumberFormat="1" applyFont="1" applyFill="1" applyBorder="1"/>
    <xf numFmtId="49" fontId="141" fillId="100" borderId="161" xfId="92" applyNumberFormat="1" applyFill="1" applyBorder="1" applyAlignment="1">
      <alignment horizontal="center"/>
    </xf>
    <xf numFmtId="49" fontId="141" fillId="94" borderId="161" xfId="92" applyNumberFormat="1" applyBorder="1" applyAlignment="1">
      <alignment horizontal="center" vertical="center"/>
    </xf>
    <xf numFmtId="165" fontId="141" fillId="94" borderId="161" xfId="92" applyFont="1" applyBorder="1" applyAlignment="1">
      <alignment horizontal="center" vertical="center" wrapText="1"/>
    </xf>
    <xf numFmtId="165" fontId="141" fillId="94" borderId="166" xfId="92" applyFont="1" applyBorder="1" applyAlignment="1">
      <alignment wrapText="1"/>
    </xf>
    <xf numFmtId="165" fontId="142" fillId="94" borderId="165" xfId="92" applyFont="1" applyBorder="1" applyAlignment="1">
      <alignment wrapText="1"/>
    </xf>
    <xf numFmtId="165" fontId="141" fillId="94" borderId="165" xfId="92" applyFont="1" applyBorder="1" applyAlignment="1">
      <alignment wrapText="1"/>
    </xf>
    <xf numFmtId="49" fontId="141" fillId="94" borderId="161" xfId="92" applyNumberFormat="1" applyFont="1" applyBorder="1"/>
    <xf numFmtId="165" fontId="142" fillId="100" borderId="161" xfId="92" applyFont="1" applyFill="1" applyBorder="1" applyAlignment="1">
      <alignment wrapText="1"/>
    </xf>
    <xf numFmtId="0" fontId="142" fillId="100" borderId="161" xfId="92" applyNumberFormat="1" applyFont="1" applyFill="1" applyBorder="1" applyAlignment="1">
      <alignment horizontal="center" wrapText="1"/>
    </xf>
    <xf numFmtId="0" fontId="142" fillId="94" borderId="161" xfId="92" applyNumberFormat="1" applyFont="1" applyBorder="1" applyAlignment="1">
      <alignment horizontal="center" wrapText="1"/>
    </xf>
    <xf numFmtId="165" fontId="141" fillId="94" borderId="161" xfId="92" applyBorder="1" applyAlignment="1">
      <alignment wrapText="1"/>
    </xf>
    <xf numFmtId="165" fontId="141" fillId="94" borderId="161" xfId="92" applyBorder="1" applyAlignment="1">
      <alignment horizontal="center" wrapText="1"/>
    </xf>
    <xf numFmtId="165" fontId="141" fillId="94" borderId="161" xfId="92" applyNumberFormat="1" applyBorder="1"/>
    <xf numFmtId="165" fontId="142" fillId="94" borderId="161" xfId="92" applyFont="1" applyBorder="1" applyAlignment="1">
      <alignment horizontal="left" wrapText="1"/>
    </xf>
    <xf numFmtId="164" fontId="142" fillId="94" borderId="160" xfId="86" applyFont="1"/>
    <xf numFmtId="9" fontId="142" fillId="96" borderId="161" xfId="87" applyFont="1" applyFill="1" applyBorder="1" applyAlignment="1">
      <alignment horizontal="center"/>
    </xf>
    <xf numFmtId="165" fontId="141" fillId="94" borderId="165" xfId="92" applyFont="1" applyBorder="1" applyAlignment="1">
      <alignment horizontal="left"/>
    </xf>
    <xf numFmtId="165" fontId="141" fillId="100" borderId="161" xfId="92" applyFill="1" applyBorder="1" applyAlignment="1">
      <alignment horizontal="center"/>
    </xf>
    <xf numFmtId="0" fontId="138" fillId="94" borderId="160" xfId="84" applyNumberFormat="1"/>
    <xf numFmtId="165" fontId="138" fillId="94" borderId="161" xfId="84" applyBorder="1" applyAlignment="1">
      <alignment horizontal="center"/>
    </xf>
    <xf numFmtId="0" fontId="141" fillId="94" borderId="161" xfId="84" applyNumberFormat="1" applyFont="1" applyFill="1" applyBorder="1" applyAlignment="1">
      <alignment horizontal="center"/>
    </xf>
    <xf numFmtId="0" fontId="142" fillId="99" borderId="161" xfId="84" applyNumberFormat="1" applyFont="1" applyFill="1" applyBorder="1" applyAlignment="1">
      <alignment horizontal="center"/>
    </xf>
    <xf numFmtId="165" fontId="142" fillId="99" borderId="161" xfId="84" applyFont="1" applyFill="1" applyBorder="1" applyAlignment="1">
      <alignment horizontal="center"/>
    </xf>
    <xf numFmtId="168" fontId="142" fillId="99" borderId="161" xfId="84" applyNumberFormat="1" applyFont="1" applyFill="1" applyBorder="1" applyAlignment="1">
      <alignment horizontal="center"/>
    </xf>
    <xf numFmtId="165" fontId="142" fillId="99" borderId="161" xfId="84" applyFont="1" applyFill="1" applyBorder="1" applyAlignment="1">
      <alignment horizontal="center" wrapText="1"/>
    </xf>
    <xf numFmtId="0" fontId="142" fillId="103" borderId="161" xfId="84" applyNumberFormat="1" applyFont="1" applyFill="1" applyBorder="1" applyAlignment="1">
      <alignment horizontal="center"/>
    </xf>
    <xf numFmtId="165" fontId="142" fillId="103" borderId="161" xfId="84" applyFont="1" applyFill="1" applyBorder="1" applyAlignment="1">
      <alignment horizontal="left"/>
    </xf>
    <xf numFmtId="165" fontId="138" fillId="103" borderId="161" xfId="84" applyFill="1" applyBorder="1" applyAlignment="1">
      <alignment horizontal="center"/>
    </xf>
    <xf numFmtId="164" fontId="138" fillId="103" borderId="161" xfId="86" applyFont="1" applyFill="1" applyBorder="1"/>
    <xf numFmtId="168" fontId="142" fillId="103" borderId="161" xfId="86" applyNumberFormat="1" applyFont="1" applyFill="1" applyBorder="1"/>
    <xf numFmtId="164" fontId="148" fillId="104" borderId="161" xfId="86" applyFont="1" applyFill="1" applyBorder="1" applyAlignment="1">
      <alignment horizontal="right"/>
    </xf>
    <xf numFmtId="165" fontId="149" fillId="94" borderId="161" xfId="84" applyFont="1" applyBorder="1" applyAlignment="1">
      <alignment horizontal="right"/>
    </xf>
    <xf numFmtId="9" fontId="138" fillId="94" borderId="161" xfId="87" applyFont="1" applyBorder="1" applyAlignment="1">
      <alignment horizontal="center"/>
    </xf>
    <xf numFmtId="164" fontId="138" fillId="94" borderId="161" xfId="86" applyFont="1" applyBorder="1"/>
    <xf numFmtId="168" fontId="149" fillId="94" borderId="161" xfId="86" applyNumberFormat="1" applyFont="1" applyBorder="1" applyAlignment="1">
      <alignment horizontal="right"/>
    </xf>
    <xf numFmtId="164" fontId="149" fillId="94" borderId="161" xfId="86" applyFont="1" applyBorder="1" applyAlignment="1">
      <alignment horizontal="right"/>
    </xf>
    <xf numFmtId="165" fontId="141" fillId="94" borderId="161" xfId="84" applyFont="1" applyBorder="1" applyAlignment="1">
      <alignment horizontal="left"/>
    </xf>
    <xf numFmtId="10" fontId="138" fillId="94" borderId="161" xfId="87" applyNumberFormat="1" applyFont="1" applyBorder="1" applyAlignment="1">
      <alignment horizontal="center"/>
    </xf>
    <xf numFmtId="168" fontId="141" fillId="94" borderId="161" xfId="86" applyNumberFormat="1" applyFont="1" applyBorder="1" applyAlignment="1">
      <alignment horizontal="right"/>
    </xf>
    <xf numFmtId="164" fontId="141" fillId="94" borderId="161" xfId="86" applyFont="1" applyBorder="1" applyAlignment="1">
      <alignment horizontal="right" wrapText="1"/>
    </xf>
    <xf numFmtId="0" fontId="142" fillId="96" borderId="161" xfId="84" applyNumberFormat="1" applyFont="1" applyFill="1" applyBorder="1" applyAlignment="1">
      <alignment horizontal="center"/>
    </xf>
    <xf numFmtId="165" fontId="142" fillId="96" borderId="161" xfId="84" applyFont="1" applyFill="1" applyBorder="1"/>
    <xf numFmtId="10" fontId="138" fillId="96" borderId="161" xfId="87" applyNumberFormat="1" applyFont="1" applyFill="1" applyBorder="1" applyAlignment="1">
      <alignment horizontal="center"/>
    </xf>
    <xf numFmtId="10" fontId="142" fillId="96" borderId="161" xfId="87" applyNumberFormat="1" applyFont="1" applyFill="1" applyBorder="1" applyAlignment="1">
      <alignment horizontal="center"/>
    </xf>
    <xf numFmtId="168" fontId="142" fillId="96" borderId="161" xfId="86" applyNumberFormat="1" applyFont="1" applyFill="1" applyBorder="1"/>
    <xf numFmtId="164" fontId="142" fillId="96" borderId="161" xfId="84" applyNumberFormat="1" applyFont="1" applyFill="1" applyBorder="1" applyAlignment="1">
      <alignment wrapText="1"/>
    </xf>
    <xf numFmtId="10" fontId="138" fillId="94" borderId="161" xfId="87" applyNumberFormat="1" applyFont="1" applyBorder="1"/>
    <xf numFmtId="168" fontId="141" fillId="100" borderId="161" xfId="86" applyNumberFormat="1" applyFont="1" applyFill="1" applyBorder="1" applyAlignment="1">
      <alignment horizontal="right"/>
    </xf>
    <xf numFmtId="164" fontId="138" fillId="94" borderId="161" xfId="86" applyFont="1" applyBorder="1" applyAlignment="1">
      <alignment wrapText="1"/>
    </xf>
    <xf numFmtId="0" fontId="142" fillId="105" borderId="161" xfId="84" applyNumberFormat="1" applyFont="1" applyFill="1" applyBorder="1" applyAlignment="1">
      <alignment horizontal="center"/>
    </xf>
    <xf numFmtId="165" fontId="142" fillId="105" borderId="161" xfId="84" applyFont="1" applyFill="1" applyBorder="1"/>
    <xf numFmtId="9" fontId="142" fillId="105" borderId="161" xfId="87" applyFont="1" applyFill="1" applyBorder="1" applyAlignment="1">
      <alignment horizontal="center"/>
    </xf>
    <xf numFmtId="169" fontId="142" fillId="105" borderId="161" xfId="87" applyNumberFormat="1" applyFont="1" applyFill="1" applyBorder="1" applyAlignment="1">
      <alignment horizontal="center"/>
    </xf>
    <xf numFmtId="168" fontId="142" fillId="105" borderId="161" xfId="86" applyNumberFormat="1" applyFont="1" applyFill="1" applyBorder="1"/>
    <xf numFmtId="164" fontId="142" fillId="105" borderId="161" xfId="84" applyNumberFormat="1" applyFont="1" applyFill="1" applyBorder="1" applyAlignment="1">
      <alignment wrapText="1"/>
    </xf>
    <xf numFmtId="10" fontId="142" fillId="94" borderId="161" xfId="87" applyNumberFormat="1" applyFont="1" applyBorder="1"/>
    <xf numFmtId="168" fontId="142" fillId="94" borderId="161" xfId="86" applyNumberFormat="1" applyFont="1" applyBorder="1"/>
    <xf numFmtId="165" fontId="141" fillId="94" borderId="161" xfId="84" applyFont="1" applyBorder="1" applyAlignment="1">
      <alignment horizontal="right"/>
    </xf>
    <xf numFmtId="164" fontId="138" fillId="94" borderId="161" xfId="84" applyNumberFormat="1" applyBorder="1"/>
    <xf numFmtId="168" fontId="138" fillId="94" borderId="161" xfId="86" applyNumberFormat="1" applyFont="1" applyBorder="1"/>
    <xf numFmtId="168" fontId="142" fillId="105" borderId="161" xfId="84" applyNumberFormat="1" applyFont="1" applyFill="1" applyBorder="1"/>
    <xf numFmtId="168" fontId="138" fillId="94" borderId="161" xfId="84" applyNumberFormat="1" applyBorder="1"/>
    <xf numFmtId="165" fontId="138" fillId="94" borderId="161" xfId="84" applyBorder="1" applyAlignment="1">
      <alignment horizontal="right"/>
    </xf>
    <xf numFmtId="168" fontId="138" fillId="94" borderId="160" xfId="84" applyNumberFormat="1"/>
    <xf numFmtId="165" fontId="138" fillId="94" borderId="160" xfId="84" applyAlignment="1">
      <alignment wrapText="1"/>
    </xf>
    <xf numFmtId="0" fontId="141" fillId="102" borderId="161" xfId="92" applyNumberFormat="1" applyFont="1" applyFill="1" applyBorder="1" applyAlignment="1">
      <alignment horizontal="center"/>
    </xf>
    <xf numFmtId="165" fontId="141" fillId="102" borderId="162" xfId="92" applyFont="1" applyFill="1" applyBorder="1" applyAlignment="1">
      <alignment wrapText="1"/>
    </xf>
    <xf numFmtId="49" fontId="141" fillId="94" borderId="161" xfId="84" applyNumberFormat="1" applyFont="1" applyBorder="1" applyAlignment="1">
      <alignment horizontal="center"/>
    </xf>
    <xf numFmtId="165" fontId="141" fillId="100" borderId="161" xfId="84" applyFont="1" applyFill="1" applyBorder="1" applyAlignment="1">
      <alignment wrapText="1"/>
    </xf>
    <xf numFmtId="0" fontId="141" fillId="102" borderId="165" xfId="92" applyNumberFormat="1" applyFont="1" applyFill="1" applyBorder="1" applyAlignment="1">
      <alignment horizontal="center"/>
    </xf>
    <xf numFmtId="0" fontId="142" fillId="102" borderId="165" xfId="92" applyNumberFormat="1" applyFont="1" applyFill="1" applyBorder="1" applyAlignment="1">
      <alignment horizontal="center"/>
    </xf>
    <xf numFmtId="49" fontId="138" fillId="94" borderId="160" xfId="84" applyNumberFormat="1"/>
    <xf numFmtId="0" fontId="141" fillId="100" borderId="165" xfId="92" applyNumberFormat="1" applyFont="1" applyFill="1" applyBorder="1" applyAlignment="1">
      <alignment horizontal="center" vertical="center"/>
    </xf>
    <xf numFmtId="165" fontId="141" fillId="94" borderId="165" xfId="92" applyBorder="1" applyAlignment="1">
      <alignment horizontal="center" vertical="center"/>
    </xf>
    <xf numFmtId="165" fontId="141" fillId="94" borderId="161" xfId="92" applyFont="1" applyBorder="1" applyAlignment="1">
      <alignment vertical="center" wrapText="1"/>
    </xf>
    <xf numFmtId="165" fontId="141" fillId="94" borderId="161" xfId="92" applyBorder="1" applyAlignment="1">
      <alignment horizontal="center" vertical="center"/>
    </xf>
    <xf numFmtId="165" fontId="141" fillId="94" borderId="162" xfId="92" applyFont="1" applyBorder="1" applyAlignment="1">
      <alignment horizontal="center" vertical="center" wrapText="1"/>
    </xf>
    <xf numFmtId="165" fontId="138" fillId="94" borderId="161" xfId="86" applyNumberFormat="1" applyFont="1" applyBorder="1" applyAlignment="1">
      <alignment vertical="center"/>
    </xf>
    <xf numFmtId="9" fontId="138" fillId="96" borderId="161" xfId="87" applyFont="1" applyFill="1" applyBorder="1" applyAlignment="1">
      <alignment horizontal="center" vertical="center"/>
    </xf>
    <xf numFmtId="165" fontId="138" fillId="100" borderId="161" xfId="86" applyNumberFormat="1" applyFont="1" applyFill="1" applyBorder="1" applyAlignment="1">
      <alignment vertical="center"/>
    </xf>
    <xf numFmtId="165" fontId="141" fillId="94" borderId="160" xfId="92" applyAlignment="1">
      <alignment vertical="center"/>
    </xf>
    <xf numFmtId="0" fontId="141" fillId="102" borderId="165" xfId="92" applyNumberFormat="1" applyFont="1" applyFill="1" applyBorder="1" applyAlignment="1">
      <alignment horizontal="center" vertical="center"/>
    </xf>
    <xf numFmtId="165" fontId="141" fillId="100" borderId="165" xfId="92" applyFill="1" applyBorder="1" applyAlignment="1">
      <alignment horizontal="center" vertical="center"/>
    </xf>
    <xf numFmtId="0" fontId="141" fillId="100" borderId="161" xfId="92" applyNumberFormat="1" applyFont="1" applyFill="1" applyBorder="1" applyAlignment="1">
      <alignment horizontal="center" vertical="center"/>
    </xf>
    <xf numFmtId="0" fontId="142" fillId="100" borderId="165" xfId="92" applyNumberFormat="1" applyFont="1" applyFill="1" applyBorder="1" applyAlignment="1">
      <alignment horizontal="center" vertical="center"/>
    </xf>
    <xf numFmtId="165" fontId="142" fillId="94" borderId="165" xfId="92" applyFont="1" applyBorder="1" applyAlignment="1">
      <alignment horizontal="center" vertical="center"/>
    </xf>
    <xf numFmtId="49" fontId="141" fillId="94" borderId="161" xfId="92" applyNumberFormat="1" applyBorder="1" applyAlignment="1">
      <alignment vertical="center"/>
    </xf>
    <xf numFmtId="0" fontId="141" fillId="94" borderId="161" xfId="92" applyNumberFormat="1" applyBorder="1" applyAlignment="1">
      <alignment horizontal="center" vertical="center"/>
    </xf>
    <xf numFmtId="164" fontId="138" fillId="94" borderId="160" xfId="86" applyFont="1" applyAlignment="1">
      <alignment vertical="center"/>
    </xf>
    <xf numFmtId="0" fontId="150" fillId="94" borderId="160" xfId="88" applyFont="1"/>
    <xf numFmtId="164" fontId="150" fillId="94" borderId="160" xfId="86" applyFont="1"/>
    <xf numFmtId="0" fontId="150" fillId="94" borderId="160" xfId="88" applyFont="1" applyAlignment="1">
      <alignment horizontal="center" vertical="center"/>
    </xf>
    <xf numFmtId="168" fontId="150" fillId="94" borderId="160" xfId="88" applyNumberFormat="1" applyFont="1"/>
    <xf numFmtId="9" fontId="138" fillId="94" borderId="161" xfId="87" applyFont="1" applyBorder="1"/>
    <xf numFmtId="10" fontId="138" fillId="94" borderId="161" xfId="87" applyNumberFormat="1" applyFont="1" applyBorder="1" applyAlignment="1">
      <alignment horizontal="center" vertical="center"/>
    </xf>
    <xf numFmtId="10" fontId="138" fillId="94" borderId="160" xfId="87" applyNumberFormat="1" applyFont="1"/>
    <xf numFmtId="165" fontId="141" fillId="94" borderId="160" xfId="84" applyFont="1"/>
    <xf numFmtId="164" fontId="138" fillId="94" borderId="161" xfId="86" applyFont="1" applyBorder="1" applyAlignment="1">
      <alignment vertical="center" wrapText="1"/>
    </xf>
    <xf numFmtId="0" fontId="151" fillId="94" borderId="161" xfId="88" applyFont="1" applyBorder="1" applyAlignment="1">
      <alignment horizontal="center" vertical="center"/>
    </xf>
    <xf numFmtId="0" fontId="150" fillId="94" borderId="160" xfId="86" applyNumberFormat="1" applyFont="1" applyAlignment="1">
      <alignment horizontal="center" vertical="center"/>
    </xf>
    <xf numFmtId="0" fontId="151" fillId="94" borderId="161" xfId="88" applyNumberFormat="1" applyFont="1" applyBorder="1" applyAlignment="1">
      <alignment horizontal="center" vertical="center"/>
    </xf>
    <xf numFmtId="0" fontId="150" fillId="94" borderId="161" xfId="88" applyFont="1" applyBorder="1" applyAlignment="1">
      <alignment horizontal="center" vertical="center"/>
    </xf>
    <xf numFmtId="0" fontId="150" fillId="94" borderId="161" xfId="88" applyFont="1" applyBorder="1" applyAlignment="1">
      <alignment horizontal="left" vertical="center"/>
    </xf>
    <xf numFmtId="0" fontId="150" fillId="94" borderId="161" xfId="86" applyNumberFormat="1" applyFont="1" applyBorder="1" applyAlignment="1">
      <alignment horizontal="center" vertical="center"/>
    </xf>
    <xf numFmtId="0" fontId="151" fillId="94" borderId="161" xfId="88" applyFont="1" applyBorder="1" applyAlignment="1">
      <alignment horizontal="center" vertical="center" wrapText="1"/>
    </xf>
    <xf numFmtId="164" fontId="150" fillId="94" borderId="161" xfId="86" applyFont="1" applyBorder="1"/>
    <xf numFmtId="165" fontId="151" fillId="94" borderId="161" xfId="84" applyFont="1" applyBorder="1" applyAlignment="1">
      <alignment horizontal="center" vertical="center"/>
    </xf>
    <xf numFmtId="0" fontId="151" fillId="94" borderId="161" xfId="84" applyNumberFormat="1" applyFont="1" applyBorder="1" applyAlignment="1">
      <alignment horizontal="center" vertical="center"/>
    </xf>
    <xf numFmtId="165" fontId="150" fillId="94" borderId="161" xfId="84" applyFont="1" applyBorder="1" applyAlignment="1">
      <alignment horizontal="left" vertical="center"/>
    </xf>
    <xf numFmtId="165" fontId="150" fillId="94" borderId="161" xfId="84" applyFont="1" applyBorder="1" applyAlignment="1">
      <alignment horizontal="center" vertical="center"/>
    </xf>
    <xf numFmtId="0" fontId="150" fillId="94" borderId="161" xfId="84" applyNumberFormat="1" applyFont="1" applyBorder="1" applyAlignment="1">
      <alignment horizontal="center" vertical="center"/>
    </xf>
    <xf numFmtId="0" fontId="141" fillId="100" borderId="161" xfId="92" applyNumberFormat="1" applyFont="1" applyFill="1" applyBorder="1" applyAlignment="1">
      <alignment wrapText="1"/>
    </xf>
    <xf numFmtId="165" fontId="138" fillId="97" borderId="161" xfId="84" applyFill="1" applyBorder="1"/>
    <xf numFmtId="10" fontId="138" fillId="94" borderId="173" xfId="87" applyNumberFormat="1" applyFont="1" applyBorder="1" applyAlignment="1">
      <alignment horizontal="center" vertical="center"/>
    </xf>
    <xf numFmtId="10" fontId="138" fillId="94" borderId="174" xfId="87" applyNumberFormat="1" applyFont="1" applyBorder="1" applyAlignment="1">
      <alignment horizontal="center" vertical="center"/>
    </xf>
    <xf numFmtId="10" fontId="138" fillId="94" borderId="165" xfId="87" applyNumberFormat="1" applyFont="1" applyBorder="1" applyAlignment="1">
      <alignment horizontal="center" vertical="center"/>
    </xf>
    <xf numFmtId="164" fontId="138" fillId="94" borderId="173" xfId="86" applyFont="1" applyBorder="1" applyAlignment="1">
      <alignment horizontal="center" vertical="center" wrapText="1"/>
    </xf>
    <xf numFmtId="164" fontId="138" fillId="94" borderId="174" xfId="86" applyFont="1" applyBorder="1" applyAlignment="1">
      <alignment horizontal="center" vertical="center" wrapText="1"/>
    </xf>
    <xf numFmtId="164" fontId="138" fillId="94" borderId="165" xfId="86" applyFont="1" applyBorder="1" applyAlignment="1">
      <alignment horizontal="center" vertical="center" wrapText="1"/>
    </xf>
    <xf numFmtId="165" fontId="151" fillId="94" borderId="161" xfId="84" applyFont="1" applyBorder="1" applyAlignment="1">
      <alignment horizontal="center" vertical="center"/>
    </xf>
    <xf numFmtId="165" fontId="151" fillId="94" borderId="162" xfId="84" applyFont="1" applyBorder="1" applyAlignment="1">
      <alignment horizontal="center" vertical="center"/>
    </xf>
    <xf numFmtId="165" fontId="151" fillId="94" borderId="175" xfId="84" applyFont="1" applyBorder="1" applyAlignment="1">
      <alignment horizontal="center" vertical="center"/>
    </xf>
    <xf numFmtId="165" fontId="151" fillId="94" borderId="167" xfId="84" applyFont="1" applyBorder="1" applyAlignment="1">
      <alignment horizontal="center" vertical="center"/>
    </xf>
    <xf numFmtId="10" fontId="146" fillId="94" borderId="168" xfId="87" applyNumberFormat="1" applyFont="1" applyFill="1" applyBorder="1" applyAlignment="1">
      <alignment horizontal="center" vertical="center" wrapText="1"/>
    </xf>
    <xf numFmtId="10" fontId="138" fillId="94" borderId="169" xfId="87" applyNumberFormat="1" applyFont="1" applyBorder="1" applyAlignment="1">
      <alignment horizontal="center" vertical="center"/>
    </xf>
    <xf numFmtId="10" fontId="138" fillId="94" borderId="170" xfId="87" applyNumberFormat="1" applyFont="1" applyBorder="1" applyAlignment="1">
      <alignment horizontal="center" vertical="center"/>
    </xf>
    <xf numFmtId="10" fontId="138" fillId="94" borderId="171" xfId="87" applyNumberFormat="1" applyFont="1" applyBorder="1" applyAlignment="1">
      <alignment horizontal="center" vertical="center"/>
    </xf>
    <xf numFmtId="10" fontId="138" fillId="94" borderId="166" xfId="87" applyNumberFormat="1" applyFont="1" applyBorder="1" applyAlignment="1">
      <alignment horizontal="center" vertical="center"/>
    </xf>
    <xf numFmtId="10" fontId="138" fillId="94" borderId="172" xfId="87" applyNumberFormat="1" applyFont="1" applyBorder="1" applyAlignment="1">
      <alignment horizontal="center" vertical="center"/>
    </xf>
    <xf numFmtId="10" fontId="146" fillId="94" borderId="162" xfId="87" applyNumberFormat="1" applyFont="1" applyFill="1" applyBorder="1" applyAlignment="1">
      <alignment horizontal="center" vertical="center"/>
    </xf>
    <xf numFmtId="10" fontId="138" fillId="94" borderId="167" xfId="87" applyNumberFormat="1" applyFont="1" applyBorder="1" applyAlignment="1">
      <alignment horizontal="center" vertical="center"/>
    </xf>
    <xf numFmtId="0" fontId="152" fillId="94" borderId="161" xfId="84" applyNumberFormat="1" applyFont="1" applyFill="1" applyBorder="1" applyAlignment="1">
      <alignment horizontal="center"/>
    </xf>
    <xf numFmtId="165" fontId="152" fillId="94" borderId="161" xfId="84" applyNumberFormat="1" applyFont="1" applyFill="1" applyBorder="1"/>
    <xf numFmtId="0" fontId="153" fillId="94" borderId="161" xfId="84" applyNumberFormat="1" applyFont="1" applyFill="1" applyBorder="1" applyAlignment="1">
      <alignment horizontal="center"/>
    </xf>
    <xf numFmtId="165" fontId="154" fillId="94" borderId="161" xfId="84" applyNumberFormat="1" applyFont="1" applyFill="1" applyBorder="1"/>
    <xf numFmtId="165" fontId="153" fillId="94" borderId="161" xfId="84" applyNumberFormat="1" applyFont="1" applyFill="1" applyBorder="1"/>
    <xf numFmtId="165" fontId="153" fillId="94" borderId="161" xfId="84" applyNumberFormat="1" applyFont="1" applyFill="1" applyBorder="1" applyAlignment="1">
      <alignment wrapText="1"/>
    </xf>
    <xf numFmtId="0" fontId="152" fillId="94" borderId="161" xfId="84" applyNumberFormat="1" applyFont="1" applyFill="1" applyBorder="1" applyAlignment="1">
      <alignment horizontal="center" wrapText="1"/>
    </xf>
    <xf numFmtId="165" fontId="152" fillId="94" borderId="161" xfId="84" applyNumberFormat="1" applyFont="1" applyFill="1" applyBorder="1" applyAlignment="1">
      <alignment wrapText="1"/>
    </xf>
    <xf numFmtId="0" fontId="153" fillId="94" borderId="161" xfId="84" applyNumberFormat="1" applyFont="1" applyFill="1" applyBorder="1" applyAlignment="1">
      <alignment horizontal="center" wrapText="1"/>
    </xf>
    <xf numFmtId="165" fontId="154" fillId="94" borderId="161" xfId="84" applyNumberFormat="1" applyFont="1" applyFill="1" applyBorder="1" applyAlignment="1">
      <alignment wrapText="1"/>
    </xf>
    <xf numFmtId="0" fontId="152" fillId="94" borderId="161" xfId="84" applyNumberFormat="1" applyFont="1" applyFill="1" applyBorder="1" applyAlignment="1">
      <alignment horizontal="center" vertical="center" wrapText="1"/>
    </xf>
    <xf numFmtId="165" fontId="152" fillId="94" borderId="161" xfId="84" applyNumberFormat="1" applyFont="1" applyFill="1" applyBorder="1" applyAlignment="1">
      <alignment vertical="center" wrapText="1"/>
    </xf>
    <xf numFmtId="0" fontId="153" fillId="94" borderId="161" xfId="84" applyNumberFormat="1" applyFont="1" applyFill="1" applyBorder="1" applyAlignment="1">
      <alignment horizontal="center" vertical="center" wrapText="1"/>
    </xf>
    <xf numFmtId="165" fontId="154" fillId="94" borderId="161" xfId="84" applyNumberFormat="1" applyFont="1" applyFill="1" applyBorder="1" applyAlignment="1">
      <alignment vertical="center" wrapText="1"/>
    </xf>
    <xf numFmtId="165" fontId="153" fillId="94" borderId="161" xfId="84" applyNumberFormat="1" applyFont="1" applyFill="1" applyBorder="1" applyAlignment="1">
      <alignment vertical="center" wrapText="1"/>
    </xf>
    <xf numFmtId="0" fontId="153" fillId="106" borderId="161" xfId="84" applyNumberFormat="1" applyFont="1" applyFill="1" applyBorder="1" applyAlignment="1">
      <alignment horizontal="center" vertical="center" wrapText="1"/>
    </xf>
    <xf numFmtId="165" fontId="154" fillId="106" borderId="161" xfId="84" applyNumberFormat="1" applyFont="1" applyFill="1" applyBorder="1" applyAlignment="1">
      <alignment vertical="center" wrapText="1"/>
    </xf>
    <xf numFmtId="0" fontId="153" fillId="106" borderId="176" xfId="84" applyNumberFormat="1" applyFont="1" applyFill="1" applyBorder="1" applyAlignment="1">
      <alignment horizontal="center" vertical="center" wrapText="1"/>
    </xf>
    <xf numFmtId="165" fontId="154" fillId="106" borderId="176" xfId="84" applyNumberFormat="1" applyFont="1" applyFill="1" applyBorder="1" applyAlignment="1">
      <alignment vertical="center" wrapText="1"/>
    </xf>
    <xf numFmtId="0" fontId="153" fillId="107" borderId="161" xfId="84" applyNumberFormat="1" applyFont="1" applyFill="1" applyBorder="1" applyAlignment="1">
      <alignment horizontal="center" vertical="center" wrapText="1"/>
    </xf>
    <xf numFmtId="165" fontId="154" fillId="107" borderId="161" xfId="84" applyNumberFormat="1" applyFont="1" applyFill="1" applyBorder="1" applyAlignment="1">
      <alignment vertical="center" wrapText="1"/>
    </xf>
    <xf numFmtId="0" fontId="153" fillId="107" borderId="176" xfId="84" applyNumberFormat="1" applyFont="1" applyFill="1" applyBorder="1" applyAlignment="1">
      <alignment horizontal="center" vertical="center" wrapText="1"/>
    </xf>
    <xf numFmtId="165" fontId="154" fillId="107" borderId="176" xfId="84" applyNumberFormat="1" applyFont="1" applyFill="1" applyBorder="1" applyAlignment="1">
      <alignment vertical="center" wrapText="1"/>
    </xf>
    <xf numFmtId="165" fontId="153" fillId="106" borderId="161" xfId="84" applyNumberFormat="1" applyFont="1" applyFill="1" applyBorder="1" applyAlignment="1">
      <alignment vertical="center" wrapText="1"/>
    </xf>
    <xf numFmtId="165" fontId="153" fillId="106" borderId="176" xfId="84" applyNumberFormat="1" applyFont="1" applyFill="1" applyBorder="1" applyAlignment="1">
      <alignment vertical="center" wrapText="1"/>
    </xf>
    <xf numFmtId="165" fontId="153" fillId="107" borderId="161" xfId="84" applyNumberFormat="1" applyFont="1" applyFill="1" applyBorder="1" applyAlignment="1">
      <alignment vertical="center" wrapText="1"/>
    </xf>
    <xf numFmtId="165" fontId="153" fillId="107" borderId="176" xfId="84" applyNumberFormat="1" applyFont="1" applyFill="1" applyBorder="1" applyAlignment="1">
      <alignment vertical="center" wrapText="1"/>
    </xf>
    <xf numFmtId="0" fontId="152" fillId="108" borderId="161" xfId="84" applyNumberFormat="1" applyFont="1" applyFill="1" applyBorder="1" applyAlignment="1">
      <alignment horizontal="center" vertical="center" wrapText="1"/>
    </xf>
    <xf numFmtId="165" fontId="152" fillId="108" borderId="161" xfId="84" applyNumberFormat="1" applyFont="1" applyFill="1" applyBorder="1" applyAlignment="1">
      <alignment vertical="center" wrapText="1"/>
    </xf>
    <xf numFmtId="0" fontId="155" fillId="108" borderId="161" xfId="84" applyNumberFormat="1" applyFont="1" applyFill="1" applyBorder="1" applyAlignment="1">
      <alignment horizontal="center" vertical="center" wrapText="1"/>
    </xf>
    <xf numFmtId="165" fontId="155" fillId="108" borderId="161" xfId="84" applyNumberFormat="1" applyFont="1" applyFill="1" applyBorder="1" applyAlignment="1">
      <alignment vertical="center" wrapText="1"/>
    </xf>
    <xf numFmtId="0" fontId="155" fillId="108" borderId="177" xfId="84" applyNumberFormat="1" applyFont="1" applyFill="1" applyBorder="1" applyAlignment="1">
      <alignment horizontal="center" vertical="center" wrapText="1"/>
    </xf>
    <xf numFmtId="165" fontId="155" fillId="108" borderId="177" xfId="84" applyNumberFormat="1" applyFont="1" applyFill="1" applyBorder="1" applyAlignment="1">
      <alignment vertical="center" wrapText="1"/>
    </xf>
    <xf numFmtId="165" fontId="155" fillId="108" borderId="177" xfId="84" applyNumberFormat="1" applyFont="1" applyFill="1" applyBorder="1" applyAlignment="1">
      <alignment horizontal="center" vertical="center" wrapText="1"/>
    </xf>
    <xf numFmtId="0" fontId="156" fillId="106" borderId="176" xfId="84" applyNumberFormat="1" applyFont="1" applyFill="1" applyBorder="1" applyAlignment="1">
      <alignment horizontal="center" vertical="center" wrapText="1"/>
    </xf>
    <xf numFmtId="0" fontId="156" fillId="106" borderId="176" xfId="84" applyNumberFormat="1" applyFont="1" applyFill="1" applyBorder="1" applyAlignment="1">
      <alignment horizontal="right" vertical="center" wrapText="1"/>
    </xf>
    <xf numFmtId="0" fontId="156" fillId="107" borderId="176" xfId="84" applyNumberFormat="1" applyFont="1" applyFill="1" applyBorder="1" applyAlignment="1">
      <alignment horizontal="center" vertical="center" wrapText="1"/>
    </xf>
    <xf numFmtId="0" fontId="156" fillId="107" borderId="176" xfId="84" applyNumberFormat="1" applyFont="1" applyFill="1" applyBorder="1" applyAlignment="1">
      <alignment horizontal="right" vertical="center" wrapText="1"/>
    </xf>
    <xf numFmtId="165" fontId="152" fillId="98" borderId="161" xfId="84" applyNumberFormat="1" applyFont="1" applyFill="1" applyBorder="1" applyAlignment="1">
      <alignment wrapText="1"/>
    </xf>
    <xf numFmtId="165" fontId="152" fillId="98" borderId="161" xfId="84" applyNumberFormat="1" applyFont="1" applyFill="1" applyBorder="1" applyAlignment="1">
      <alignment horizontal="center" wrapText="1"/>
    </xf>
    <xf numFmtId="165" fontId="152" fillId="98" borderId="161" xfId="84" applyNumberFormat="1" applyFont="1" applyFill="1" applyBorder="1" applyAlignment="1">
      <alignment horizontal="center"/>
    </xf>
    <xf numFmtId="165" fontId="153" fillId="94" borderId="160" xfId="84" applyNumberFormat="1" applyFont="1" applyFill="1" applyBorder="1"/>
    <xf numFmtId="165" fontId="154" fillId="94" borderId="161" xfId="84" applyNumberFormat="1" applyFont="1" applyFill="1" applyBorder="1" applyAlignment="1">
      <alignment horizontal="center" vertical="center" wrapText="1"/>
    </xf>
    <xf numFmtId="165" fontId="153" fillId="99" borderId="161" xfId="84" applyNumberFormat="1" applyFont="1" applyFill="1" applyBorder="1" applyAlignment="1">
      <alignment horizontal="center"/>
    </xf>
    <xf numFmtId="164" fontId="153" fillId="94" borderId="160" xfId="84" applyNumberFormat="1" applyFont="1" applyFill="1" applyBorder="1"/>
    <xf numFmtId="164" fontId="153" fillId="99" borderId="161" xfId="84" applyNumberFormat="1" applyFont="1" applyFill="1" applyBorder="1" applyAlignment="1">
      <alignment horizontal="center"/>
    </xf>
    <xf numFmtId="9" fontId="153" fillId="99" borderId="161" xfId="84" applyNumberFormat="1" applyFont="1" applyFill="1" applyBorder="1" applyAlignment="1">
      <alignment horizontal="center"/>
    </xf>
    <xf numFmtId="0" fontId="153" fillId="99" borderId="161" xfId="84" applyNumberFormat="1" applyFont="1" applyFill="1" applyBorder="1" applyAlignment="1">
      <alignment horizontal="center"/>
    </xf>
    <xf numFmtId="165" fontId="153" fillId="94" borderId="160" xfId="84" applyNumberFormat="1" applyFont="1" applyFill="1" applyBorder="1" applyAlignment="1">
      <alignment wrapText="1"/>
    </xf>
    <xf numFmtId="165" fontId="153" fillId="99" borderId="161" xfId="84" applyNumberFormat="1" applyFont="1" applyFill="1" applyBorder="1" applyAlignment="1">
      <alignment horizontal="center" wrapText="1"/>
    </xf>
    <xf numFmtId="164" fontId="153" fillId="94" borderId="160" xfId="84" applyNumberFormat="1" applyFont="1" applyFill="1" applyBorder="1" applyAlignment="1">
      <alignment wrapText="1"/>
    </xf>
    <xf numFmtId="164" fontId="153" fillId="99" borderId="161" xfId="84" applyNumberFormat="1" applyFont="1" applyFill="1" applyBorder="1" applyAlignment="1">
      <alignment horizontal="center" wrapText="1"/>
    </xf>
    <xf numFmtId="9" fontId="153" fillId="99" borderId="161" xfId="84" applyNumberFormat="1" applyFont="1" applyFill="1" applyBorder="1" applyAlignment="1">
      <alignment horizontal="center" wrapText="1"/>
    </xf>
    <xf numFmtId="0" fontId="153" fillId="99" borderId="161" xfId="84" applyNumberFormat="1" applyFont="1" applyFill="1" applyBorder="1" applyAlignment="1">
      <alignment horizontal="center" wrapText="1"/>
    </xf>
    <xf numFmtId="165" fontId="152" fillId="98" borderId="161" xfId="84" applyNumberFormat="1" applyFont="1" applyFill="1" applyBorder="1" applyAlignment="1">
      <alignment vertical="center" wrapText="1"/>
    </xf>
    <xf numFmtId="165" fontId="152" fillId="98" borderId="161" xfId="84" applyNumberFormat="1" applyFont="1" applyFill="1" applyBorder="1" applyAlignment="1">
      <alignment horizontal="center" vertical="center" wrapText="1"/>
    </xf>
    <xf numFmtId="165" fontId="153" fillId="94" borderId="160" xfId="84" applyNumberFormat="1" applyFont="1" applyFill="1" applyBorder="1" applyAlignment="1">
      <alignment vertical="center" wrapText="1"/>
    </xf>
    <xf numFmtId="165" fontId="153" fillId="99" borderId="161" xfId="84" applyNumberFormat="1" applyFont="1" applyFill="1" applyBorder="1" applyAlignment="1">
      <alignment horizontal="center" vertical="center" wrapText="1"/>
    </xf>
    <xf numFmtId="164" fontId="153" fillId="94" borderId="160" xfId="84" applyNumberFormat="1" applyFont="1" applyFill="1" applyBorder="1" applyAlignment="1">
      <alignment vertical="center" wrapText="1"/>
    </xf>
    <xf numFmtId="164" fontId="153" fillId="99" borderId="161" xfId="84" applyNumberFormat="1" applyFont="1" applyFill="1" applyBorder="1" applyAlignment="1">
      <alignment horizontal="center" vertical="center" wrapText="1"/>
    </xf>
    <xf numFmtId="9" fontId="153" fillId="99" borderId="161" xfId="84" applyNumberFormat="1" applyFont="1" applyFill="1" applyBorder="1" applyAlignment="1">
      <alignment horizontal="center" vertical="center" wrapText="1"/>
    </xf>
    <xf numFmtId="0" fontId="153" fillId="99" borderId="161" xfId="84" applyNumberFormat="1" applyFont="1" applyFill="1" applyBorder="1" applyAlignment="1">
      <alignment horizontal="center" vertical="center" wrapText="1"/>
    </xf>
    <xf numFmtId="165" fontId="154" fillId="106" borderId="161" xfId="84" applyNumberFormat="1" applyFont="1" applyFill="1" applyBorder="1" applyAlignment="1">
      <alignment horizontal="center" vertical="center" wrapText="1"/>
    </xf>
    <xf numFmtId="165" fontId="153" fillId="106" borderId="161" xfId="84" applyNumberFormat="1" applyFont="1" applyFill="1" applyBorder="1" applyAlignment="1">
      <alignment horizontal="center" vertical="center" wrapText="1"/>
    </xf>
    <xf numFmtId="164" fontId="153" fillId="106" borderId="160" xfId="84" applyNumberFormat="1" applyFont="1" applyFill="1" applyBorder="1" applyAlignment="1">
      <alignment vertical="center" wrapText="1"/>
    </xf>
    <xf numFmtId="165" fontId="153" fillId="106" borderId="160" xfId="84" applyNumberFormat="1" applyFont="1" applyFill="1" applyBorder="1" applyAlignment="1">
      <alignment vertical="center" wrapText="1"/>
    </xf>
    <xf numFmtId="165" fontId="154" fillId="106" borderId="176" xfId="84" applyNumberFormat="1" applyFont="1" applyFill="1" applyBorder="1" applyAlignment="1">
      <alignment horizontal="center" vertical="center" wrapText="1"/>
    </xf>
    <xf numFmtId="165" fontId="153" fillId="106" borderId="176" xfId="84" applyNumberFormat="1" applyFont="1" applyFill="1" applyBorder="1" applyAlignment="1">
      <alignment horizontal="center" vertical="center" wrapText="1"/>
    </xf>
    <xf numFmtId="164" fontId="153" fillId="106" borderId="178" xfId="84" applyNumberFormat="1" applyFont="1" applyFill="1" applyBorder="1" applyAlignment="1">
      <alignment vertical="center" wrapText="1"/>
    </xf>
    <xf numFmtId="165" fontId="153" fillId="106" borderId="178" xfId="84" applyNumberFormat="1" applyFont="1" applyFill="1" applyBorder="1" applyAlignment="1">
      <alignment vertical="center" wrapText="1"/>
    </xf>
    <xf numFmtId="165" fontId="154" fillId="107" borderId="161" xfId="84" applyNumberFormat="1" applyFont="1" applyFill="1" applyBorder="1" applyAlignment="1">
      <alignment horizontal="center" vertical="center" wrapText="1"/>
    </xf>
    <xf numFmtId="165" fontId="153" fillId="107" borderId="161" xfId="84" applyNumberFormat="1" applyFont="1" applyFill="1" applyBorder="1" applyAlignment="1">
      <alignment horizontal="center" vertical="center" wrapText="1"/>
    </xf>
    <xf numFmtId="165" fontId="153" fillId="107" borderId="160" xfId="84" applyNumberFormat="1" applyFont="1" applyFill="1" applyBorder="1" applyAlignment="1">
      <alignment vertical="center" wrapText="1"/>
    </xf>
    <xf numFmtId="165" fontId="154" fillId="107" borderId="176" xfId="84" applyNumberFormat="1" applyFont="1" applyFill="1" applyBorder="1" applyAlignment="1">
      <alignment horizontal="center" vertical="center" wrapText="1"/>
    </xf>
    <xf numFmtId="165" fontId="153" fillId="107" borderId="176" xfId="84" applyNumberFormat="1" applyFont="1" applyFill="1" applyBorder="1" applyAlignment="1">
      <alignment horizontal="center" vertical="center" wrapText="1"/>
    </xf>
    <xf numFmtId="165" fontId="153" fillId="107" borderId="178" xfId="84" applyNumberFormat="1" applyFont="1" applyFill="1" applyBorder="1" applyAlignment="1">
      <alignment vertical="center" wrapText="1"/>
    </xf>
    <xf numFmtId="164" fontId="153" fillId="106" borderId="161" xfId="84" applyNumberFormat="1" applyFont="1" applyFill="1" applyBorder="1" applyAlignment="1">
      <alignment horizontal="center" vertical="center" wrapText="1"/>
    </xf>
    <xf numFmtId="164" fontId="153" fillId="106" borderId="176" xfId="84" applyNumberFormat="1" applyFont="1" applyFill="1" applyBorder="1" applyAlignment="1">
      <alignment horizontal="center" vertical="center" wrapText="1"/>
    </xf>
    <xf numFmtId="9" fontId="153" fillId="107" borderId="161" xfId="84" applyNumberFormat="1" applyFont="1" applyFill="1" applyBorder="1" applyAlignment="1">
      <alignment horizontal="center" vertical="center" wrapText="1"/>
    </xf>
    <xf numFmtId="9" fontId="153" fillId="107" borderId="176" xfId="84" applyNumberFormat="1" applyFont="1" applyFill="1" applyBorder="1" applyAlignment="1">
      <alignment horizontal="center" vertical="center" wrapText="1"/>
    </xf>
    <xf numFmtId="9" fontId="153" fillId="106" borderId="161" xfId="84" applyNumberFormat="1" applyFont="1" applyFill="1" applyBorder="1" applyAlignment="1">
      <alignment horizontal="center" vertical="center" wrapText="1"/>
    </xf>
    <xf numFmtId="9" fontId="153" fillId="106" borderId="176" xfId="84" applyNumberFormat="1" applyFont="1" applyFill="1" applyBorder="1" applyAlignment="1">
      <alignment horizontal="center" vertical="center" wrapText="1"/>
    </xf>
    <xf numFmtId="165" fontId="152" fillId="108" borderId="161" xfId="84" applyNumberFormat="1" applyFont="1" applyFill="1" applyBorder="1" applyAlignment="1">
      <alignment horizontal="center" vertical="center" wrapText="1"/>
    </xf>
    <xf numFmtId="165" fontId="153" fillId="108" borderId="160" xfId="84" applyNumberFormat="1" applyFont="1" applyFill="1" applyBorder="1" applyAlignment="1">
      <alignment vertical="center" wrapText="1"/>
    </xf>
    <xf numFmtId="165" fontId="155" fillId="108" borderId="161" xfId="84" applyNumberFormat="1" applyFont="1" applyFill="1" applyBorder="1" applyAlignment="1">
      <alignment horizontal="center" vertical="center" wrapText="1"/>
    </xf>
    <xf numFmtId="165" fontId="157" fillId="108" borderId="160" xfId="84" applyNumberFormat="1" applyFont="1" applyFill="1" applyBorder="1" applyAlignment="1">
      <alignment vertical="center" wrapText="1"/>
    </xf>
    <xf numFmtId="165" fontId="157" fillId="108" borderId="179" xfId="84" applyNumberFormat="1" applyFont="1" applyFill="1" applyBorder="1" applyAlignment="1">
      <alignment vertical="center" wrapText="1"/>
    </xf>
    <xf numFmtId="165" fontId="157" fillId="108" borderId="179" xfId="84" applyNumberFormat="1" applyFont="1" applyFill="1" applyBorder="1" applyAlignment="1">
      <alignment horizontal="center" vertical="center" wrapText="1"/>
    </xf>
    <xf numFmtId="165" fontId="156" fillId="106" borderId="176" xfId="84" applyNumberFormat="1" applyFont="1" applyFill="1" applyBorder="1" applyAlignment="1">
      <alignment horizontal="center" vertical="center" wrapText="1"/>
    </xf>
    <xf numFmtId="165" fontId="156" fillId="106" borderId="176" xfId="84" applyNumberFormat="1" applyFont="1" applyFill="1" applyBorder="1" applyAlignment="1">
      <alignment horizontal="right" vertical="center" wrapText="1"/>
    </xf>
    <xf numFmtId="165" fontId="153" fillId="107" borderId="176" xfId="84" applyNumberFormat="1" applyFont="1" applyFill="1" applyBorder="1" applyAlignment="1">
      <alignment horizontal="right" vertical="center" wrapText="1"/>
    </xf>
    <xf numFmtId="164" fontId="153" fillId="106" borderId="176" xfId="84" applyNumberFormat="1" applyFont="1" applyFill="1" applyBorder="1" applyAlignment="1">
      <alignment horizontal="right" vertical="center" wrapText="1"/>
    </xf>
    <xf numFmtId="165" fontId="153" fillId="106" borderId="178" xfId="84" applyNumberFormat="1" applyFont="1" applyFill="1" applyBorder="1" applyAlignment="1">
      <alignment horizontal="right" vertical="center" wrapText="1"/>
    </xf>
    <xf numFmtId="9" fontId="156" fillId="107" borderId="176" xfId="84" applyNumberFormat="1" applyFont="1" applyFill="1" applyBorder="1" applyAlignment="1">
      <alignment horizontal="center" vertical="center" wrapText="1"/>
    </xf>
    <xf numFmtId="9" fontId="156" fillId="107" borderId="176" xfId="84" applyNumberFormat="1" applyFont="1" applyFill="1" applyBorder="1" applyAlignment="1">
      <alignment horizontal="right" vertical="center" wrapText="1"/>
    </xf>
    <xf numFmtId="9" fontId="156" fillId="106" borderId="176" xfId="84" applyNumberFormat="1" applyFont="1" applyFill="1" applyBorder="1" applyAlignment="1">
      <alignment horizontal="center" vertical="center" wrapText="1"/>
    </xf>
    <xf numFmtId="9" fontId="156" fillId="106" borderId="176" xfId="84" applyNumberFormat="1" applyFont="1" applyFill="1" applyBorder="1" applyAlignment="1">
      <alignment horizontal="right" vertical="center" wrapText="1"/>
    </xf>
    <xf numFmtId="165" fontId="153" fillId="106" borderId="176" xfId="84" applyNumberFormat="1" applyFont="1" applyFill="1" applyBorder="1" applyAlignment="1">
      <alignment horizontal="right" vertical="center" wrapText="1"/>
    </xf>
    <xf numFmtId="0" fontId="152" fillId="99" borderId="161" xfId="84" applyNumberFormat="1" applyFont="1" applyFill="1" applyBorder="1" applyAlignment="1">
      <alignment horizontal="center"/>
    </xf>
    <xf numFmtId="165" fontId="152" fillId="99" borderId="161" xfId="84" applyNumberFormat="1" applyFont="1" applyFill="1" applyBorder="1" applyAlignment="1">
      <alignment horizontal="center"/>
    </xf>
    <xf numFmtId="168" fontId="152" fillId="99" borderId="161" xfId="84" applyNumberFormat="1" applyFont="1" applyFill="1" applyBorder="1" applyAlignment="1">
      <alignment horizontal="center"/>
    </xf>
    <xf numFmtId="165" fontId="152" fillId="99" borderId="161" xfId="84" applyNumberFormat="1" applyFont="1" applyFill="1" applyBorder="1" applyAlignment="1">
      <alignment horizontal="center" wrapText="1"/>
    </xf>
    <xf numFmtId="0" fontId="152" fillId="103" borderId="161" xfId="84" applyNumberFormat="1" applyFont="1" applyFill="1" applyBorder="1" applyAlignment="1">
      <alignment horizontal="center"/>
    </xf>
    <xf numFmtId="165" fontId="152" fillId="103" borderId="161" xfId="84" applyNumberFormat="1" applyFont="1" applyFill="1" applyBorder="1" applyAlignment="1">
      <alignment horizontal="left"/>
    </xf>
    <xf numFmtId="165" fontId="153" fillId="103" borderId="161" xfId="84" applyNumberFormat="1" applyFont="1" applyFill="1" applyBorder="1" applyAlignment="1">
      <alignment horizontal="center"/>
    </xf>
    <xf numFmtId="164" fontId="153" fillId="103" borderId="161" xfId="84" applyNumberFormat="1" applyFont="1" applyFill="1" applyBorder="1"/>
    <xf numFmtId="168" fontId="152" fillId="103" borderId="161" xfId="84" applyNumberFormat="1" applyFont="1" applyFill="1" applyBorder="1"/>
    <xf numFmtId="164" fontId="152" fillId="104" borderId="161" xfId="84" applyNumberFormat="1" applyFont="1" applyFill="1" applyBorder="1" applyAlignment="1">
      <alignment horizontal="right"/>
    </xf>
    <xf numFmtId="165" fontId="158" fillId="94" borderId="161" xfId="84" applyNumberFormat="1" applyFont="1" applyFill="1" applyBorder="1" applyAlignment="1">
      <alignment horizontal="right"/>
    </xf>
    <xf numFmtId="9" fontId="153" fillId="94" borderId="161" xfId="84" applyNumberFormat="1" applyFont="1" applyFill="1" applyBorder="1" applyAlignment="1">
      <alignment horizontal="center"/>
    </xf>
    <xf numFmtId="164" fontId="153" fillId="94" borderId="161" xfId="84" applyNumberFormat="1" applyFont="1" applyFill="1" applyBorder="1"/>
    <xf numFmtId="168" fontId="158" fillId="94" borderId="161" xfId="84" applyNumberFormat="1" applyFont="1" applyFill="1" applyBorder="1" applyAlignment="1">
      <alignment horizontal="right"/>
    </xf>
    <xf numFmtId="164" fontId="158" fillId="94" borderId="161" xfId="84" applyNumberFormat="1" applyFont="1" applyFill="1" applyBorder="1" applyAlignment="1">
      <alignment horizontal="right"/>
    </xf>
    <xf numFmtId="165" fontId="154" fillId="94" borderId="161" xfId="84" applyNumberFormat="1" applyFont="1" applyFill="1" applyBorder="1" applyAlignment="1">
      <alignment horizontal="left"/>
    </xf>
    <xf numFmtId="10" fontId="153" fillId="94" borderId="173" xfId="84" applyNumberFormat="1" applyFont="1" applyFill="1" applyBorder="1" applyAlignment="1">
      <alignment horizontal="center" vertical="center"/>
    </xf>
    <xf numFmtId="10" fontId="153" fillId="94" borderId="161" xfId="84" applyNumberFormat="1" applyFont="1" applyFill="1" applyBorder="1" applyAlignment="1">
      <alignment horizontal="center"/>
    </xf>
    <xf numFmtId="168" fontId="154" fillId="94" borderId="161" xfId="84" applyNumberFormat="1" applyFont="1" applyFill="1" applyBorder="1" applyAlignment="1">
      <alignment horizontal="right"/>
    </xf>
    <xf numFmtId="164" fontId="154" fillId="94" borderId="161" xfId="84" applyNumberFormat="1" applyFont="1" applyFill="1" applyBorder="1" applyAlignment="1">
      <alignment horizontal="right" wrapText="1"/>
    </xf>
    <xf numFmtId="10" fontId="153" fillId="94" borderId="174" xfId="84" applyNumberFormat="1" applyFont="1" applyFill="1" applyBorder="1" applyAlignment="1">
      <alignment horizontal="center" vertical="center"/>
    </xf>
    <xf numFmtId="10" fontId="153" fillId="94" borderId="165" xfId="84" applyNumberFormat="1" applyFont="1" applyFill="1" applyBorder="1" applyAlignment="1">
      <alignment horizontal="center" vertical="center"/>
    </xf>
    <xf numFmtId="10" fontId="153" fillId="94" borderId="161" xfId="84" applyNumberFormat="1" applyFont="1" applyFill="1" applyBorder="1" applyAlignment="1">
      <alignment horizontal="center" vertical="center"/>
    </xf>
    <xf numFmtId="0" fontId="152" fillId="96" borderId="161" xfId="84" applyNumberFormat="1" applyFont="1" applyFill="1" applyBorder="1" applyAlignment="1">
      <alignment horizontal="center"/>
    </xf>
    <xf numFmtId="165" fontId="152" fillId="96" borderId="161" xfId="84" applyNumberFormat="1" applyFont="1" applyFill="1" applyBorder="1"/>
    <xf numFmtId="10" fontId="153" fillId="96" borderId="161" xfId="84" applyNumberFormat="1" applyFont="1" applyFill="1" applyBorder="1" applyAlignment="1">
      <alignment horizontal="center"/>
    </xf>
    <xf numFmtId="10" fontId="152" fillId="96" borderId="161" xfId="84" applyNumberFormat="1" applyFont="1" applyFill="1" applyBorder="1" applyAlignment="1">
      <alignment horizontal="center"/>
    </xf>
    <xf numFmtId="168" fontId="152" fillId="96" borderId="161" xfId="84" applyNumberFormat="1" applyFont="1" applyFill="1" applyBorder="1"/>
    <xf numFmtId="164" fontId="152" fillId="96" borderId="161" xfId="84" applyNumberFormat="1" applyFont="1" applyFill="1" applyBorder="1" applyAlignment="1">
      <alignment wrapText="1"/>
    </xf>
    <xf numFmtId="10" fontId="153" fillId="94" borderId="161" xfId="84" applyNumberFormat="1" applyFont="1" applyFill="1" applyBorder="1"/>
    <xf numFmtId="168" fontId="154" fillId="100" borderId="161" xfId="84" applyNumberFormat="1" applyFont="1" applyFill="1" applyBorder="1" applyAlignment="1">
      <alignment horizontal="right"/>
    </xf>
    <xf numFmtId="164" fontId="153" fillId="94" borderId="173" xfId="84" applyNumberFormat="1" applyFont="1" applyFill="1" applyBorder="1" applyAlignment="1">
      <alignment horizontal="center" vertical="center" wrapText="1"/>
    </xf>
    <xf numFmtId="10" fontId="153" fillId="94" borderId="160" xfId="84" applyNumberFormat="1" applyFont="1" applyFill="1" applyBorder="1"/>
    <xf numFmtId="164" fontId="153" fillId="94" borderId="174" xfId="84" applyNumberFormat="1" applyFont="1" applyFill="1" applyBorder="1" applyAlignment="1">
      <alignment horizontal="center" vertical="center" wrapText="1"/>
    </xf>
    <xf numFmtId="164" fontId="153" fillId="94" borderId="165" xfId="84" applyNumberFormat="1" applyFont="1" applyFill="1" applyBorder="1" applyAlignment="1">
      <alignment horizontal="center" vertical="center" wrapText="1"/>
    </xf>
    <xf numFmtId="164" fontId="153" fillId="94" borderId="161" xfId="84" applyNumberFormat="1" applyFont="1" applyFill="1" applyBorder="1" applyAlignment="1">
      <alignment vertical="center" wrapText="1"/>
    </xf>
    <xf numFmtId="164" fontId="153" fillId="94" borderId="161" xfId="84" applyNumberFormat="1" applyFont="1" applyFill="1" applyBorder="1" applyAlignment="1">
      <alignment wrapText="1"/>
    </xf>
    <xf numFmtId="0" fontId="152" fillId="105" borderId="161" xfId="84" applyNumberFormat="1" applyFont="1" applyFill="1" applyBorder="1" applyAlignment="1">
      <alignment horizontal="center"/>
    </xf>
    <xf numFmtId="165" fontId="152" fillId="105" borderId="161" xfId="84" applyNumberFormat="1" applyFont="1" applyFill="1" applyBorder="1"/>
    <xf numFmtId="9" fontId="152" fillId="105" borderId="161" xfId="84" applyNumberFormat="1" applyFont="1" applyFill="1" applyBorder="1" applyAlignment="1">
      <alignment horizontal="center"/>
    </xf>
    <xf numFmtId="169" fontId="152" fillId="105" borderId="161" xfId="84" applyNumberFormat="1" applyFont="1" applyFill="1" applyBorder="1" applyAlignment="1">
      <alignment horizontal="center"/>
    </xf>
    <xf numFmtId="168" fontId="152" fillId="105" borderId="161" xfId="84" applyNumberFormat="1" applyFont="1" applyFill="1" applyBorder="1"/>
    <xf numFmtId="164" fontId="152" fillId="105" borderId="161" xfId="84" applyNumberFormat="1" applyFont="1" applyFill="1" applyBorder="1" applyAlignment="1">
      <alignment wrapText="1"/>
    </xf>
    <xf numFmtId="165" fontId="153" fillId="94" borderId="161" xfId="84" applyNumberFormat="1" applyFont="1" applyFill="1" applyBorder="1" applyAlignment="1">
      <alignment horizontal="center"/>
    </xf>
    <xf numFmtId="10" fontId="152" fillId="94" borderId="161" xfId="84" applyNumberFormat="1" applyFont="1" applyFill="1" applyBorder="1"/>
    <xf numFmtId="168" fontId="152" fillId="94" borderId="161" xfId="84" applyNumberFormat="1" applyFont="1" applyFill="1" applyBorder="1"/>
    <xf numFmtId="165" fontId="154" fillId="94" borderId="161" xfId="84" applyNumberFormat="1" applyFont="1" applyFill="1" applyBorder="1" applyAlignment="1">
      <alignment horizontal="right"/>
    </xf>
    <xf numFmtId="168" fontId="153" fillId="94" borderId="161" xfId="84" applyNumberFormat="1" applyFont="1" applyFill="1" applyBorder="1"/>
    <xf numFmtId="9" fontId="153" fillId="94" borderId="161" xfId="84" applyNumberFormat="1" applyFont="1" applyFill="1" applyBorder="1"/>
    <xf numFmtId="165" fontId="153" fillId="94" borderId="161" xfId="84" applyNumberFormat="1" applyFont="1" applyFill="1" applyBorder="1" applyAlignment="1">
      <alignment horizontal="right"/>
    </xf>
    <xf numFmtId="0" fontId="152" fillId="99" borderId="161" xfId="84" applyNumberFormat="1" applyFont="1" applyFill="1" applyBorder="1" applyAlignment="1">
      <alignment horizontal="center" wrapText="1"/>
    </xf>
    <xf numFmtId="168" fontId="152" fillId="99" borderId="161" xfId="84" applyNumberFormat="1" applyFont="1" applyFill="1" applyBorder="1" applyAlignment="1">
      <alignment horizontal="center" wrapText="1"/>
    </xf>
    <xf numFmtId="0" fontId="152" fillId="103" borderId="161" xfId="84" applyNumberFormat="1" applyFont="1" applyFill="1" applyBorder="1" applyAlignment="1">
      <alignment horizontal="center" wrapText="1"/>
    </xf>
    <xf numFmtId="165" fontId="152" fillId="103" borderId="161" xfId="84" applyNumberFormat="1" applyFont="1" applyFill="1" applyBorder="1" applyAlignment="1">
      <alignment horizontal="left" wrapText="1"/>
    </xf>
    <xf numFmtId="165" fontId="153" fillId="103" borderId="161" xfId="84" applyNumberFormat="1" applyFont="1" applyFill="1" applyBorder="1" applyAlignment="1">
      <alignment horizontal="center" wrapText="1"/>
    </xf>
    <xf numFmtId="164" fontId="153" fillId="103" borderId="161" xfId="84" applyNumberFormat="1" applyFont="1" applyFill="1" applyBorder="1" applyAlignment="1">
      <alignment wrapText="1"/>
    </xf>
    <xf numFmtId="168" fontId="152" fillId="103" borderId="161" xfId="84" applyNumberFormat="1" applyFont="1" applyFill="1" applyBorder="1" applyAlignment="1">
      <alignment wrapText="1"/>
    </xf>
    <xf numFmtId="164" fontId="152" fillId="104" borderId="161" xfId="84" applyNumberFormat="1" applyFont="1" applyFill="1" applyBorder="1" applyAlignment="1">
      <alignment horizontal="right" wrapText="1"/>
    </xf>
    <xf numFmtId="165" fontId="158" fillId="94" borderId="161" xfId="84" applyNumberFormat="1" applyFont="1" applyFill="1" applyBorder="1" applyAlignment="1">
      <alignment horizontal="right" wrapText="1"/>
    </xf>
    <xf numFmtId="9" fontId="153" fillId="94" borderId="161" xfId="84" applyNumberFormat="1" applyFont="1" applyFill="1" applyBorder="1" applyAlignment="1">
      <alignment horizontal="center" wrapText="1"/>
    </xf>
    <xf numFmtId="168" fontId="158" fillId="94" borderId="161" xfId="84" applyNumberFormat="1" applyFont="1" applyFill="1" applyBorder="1" applyAlignment="1">
      <alignment horizontal="right" wrapText="1"/>
    </xf>
    <xf numFmtId="164" fontId="158" fillId="94" borderId="161" xfId="84" applyNumberFormat="1" applyFont="1" applyFill="1" applyBorder="1" applyAlignment="1">
      <alignment horizontal="right" wrapText="1"/>
    </xf>
    <xf numFmtId="165" fontId="154" fillId="94" borderId="161" xfId="84" applyNumberFormat="1" applyFont="1" applyFill="1" applyBorder="1" applyAlignment="1">
      <alignment horizontal="left" wrapText="1"/>
    </xf>
    <xf numFmtId="10" fontId="153" fillId="94" borderId="173" xfId="84" applyNumberFormat="1" applyFont="1" applyFill="1" applyBorder="1" applyAlignment="1">
      <alignment horizontal="center" vertical="center" wrapText="1"/>
    </xf>
    <xf numFmtId="10" fontId="153" fillId="94" borderId="161" xfId="84" applyNumberFormat="1" applyFont="1" applyFill="1" applyBorder="1" applyAlignment="1">
      <alignment horizontal="center" wrapText="1"/>
    </xf>
    <xf numFmtId="168" fontId="154" fillId="94" borderId="161" xfId="84" applyNumberFormat="1" applyFont="1" applyFill="1" applyBorder="1" applyAlignment="1">
      <alignment horizontal="right" wrapText="1"/>
    </xf>
    <xf numFmtId="10" fontId="153" fillId="94" borderId="174" xfId="84" applyNumberFormat="1" applyFont="1" applyFill="1" applyBorder="1" applyAlignment="1">
      <alignment horizontal="center" vertical="center" wrapText="1"/>
    </xf>
    <xf numFmtId="10" fontId="153" fillId="94" borderId="165" xfId="84" applyNumberFormat="1" applyFont="1" applyFill="1" applyBorder="1" applyAlignment="1">
      <alignment horizontal="center" vertical="center" wrapText="1"/>
    </xf>
    <xf numFmtId="10" fontId="153" fillId="94" borderId="161" xfId="84" applyNumberFormat="1" applyFont="1" applyFill="1" applyBorder="1" applyAlignment="1">
      <alignment horizontal="center" vertical="center" wrapText="1"/>
    </xf>
    <xf numFmtId="0" fontId="152" fillId="96" borderId="161" xfId="84" applyNumberFormat="1" applyFont="1" applyFill="1" applyBorder="1" applyAlignment="1">
      <alignment horizontal="center" wrapText="1"/>
    </xf>
    <xf numFmtId="165" fontId="152" fillId="96" borderId="161" xfId="84" applyNumberFormat="1" applyFont="1" applyFill="1" applyBorder="1" applyAlignment="1">
      <alignment wrapText="1"/>
    </xf>
    <xf numFmtId="10" fontId="153" fillId="96" borderId="161" xfId="84" applyNumberFormat="1" applyFont="1" applyFill="1" applyBorder="1" applyAlignment="1">
      <alignment horizontal="center" wrapText="1"/>
    </xf>
    <xf numFmtId="10" fontId="152" fillId="96" borderId="161" xfId="84" applyNumberFormat="1" applyFont="1" applyFill="1" applyBorder="1" applyAlignment="1">
      <alignment horizontal="center" wrapText="1"/>
    </xf>
    <xf numFmtId="168" fontId="152" fillId="96" borderId="161" xfId="84" applyNumberFormat="1" applyFont="1" applyFill="1" applyBorder="1" applyAlignment="1">
      <alignment wrapText="1"/>
    </xf>
    <xf numFmtId="10" fontId="153" fillId="94" borderId="161" xfId="84" applyNumberFormat="1" applyFont="1" applyFill="1" applyBorder="1" applyAlignment="1">
      <alignment wrapText="1"/>
    </xf>
    <xf numFmtId="168" fontId="154" fillId="100" borderId="161" xfId="84" applyNumberFormat="1" applyFont="1" applyFill="1" applyBorder="1" applyAlignment="1">
      <alignment horizontal="right" wrapText="1"/>
    </xf>
    <xf numFmtId="10" fontId="153" fillId="94" borderId="160" xfId="84" applyNumberFormat="1" applyFont="1" applyFill="1" applyBorder="1" applyAlignment="1">
      <alignment wrapText="1"/>
    </xf>
    <xf numFmtId="0" fontId="152" fillId="105" borderId="161" xfId="84" applyNumberFormat="1" applyFont="1" applyFill="1" applyBorder="1" applyAlignment="1">
      <alignment horizontal="center" wrapText="1"/>
    </xf>
    <xf numFmtId="165" fontId="152" fillId="105" borderId="161" xfId="84" applyNumberFormat="1" applyFont="1" applyFill="1" applyBorder="1" applyAlignment="1">
      <alignment wrapText="1"/>
    </xf>
    <xf numFmtId="9" fontId="152" fillId="105" borderId="161" xfId="84" applyNumberFormat="1" applyFont="1" applyFill="1" applyBorder="1" applyAlignment="1">
      <alignment horizontal="center" wrapText="1"/>
    </xf>
    <xf numFmtId="169" fontId="152" fillId="105" borderId="161" xfId="84" applyNumberFormat="1" applyFont="1" applyFill="1" applyBorder="1" applyAlignment="1">
      <alignment horizontal="center" wrapText="1"/>
    </xf>
    <xf numFmtId="168" fontId="152" fillId="105" borderId="161" xfId="84" applyNumberFormat="1" applyFont="1" applyFill="1" applyBorder="1" applyAlignment="1">
      <alignment wrapText="1"/>
    </xf>
    <xf numFmtId="165" fontId="153" fillId="94" borderId="161" xfId="84" applyNumberFormat="1" applyFont="1" applyFill="1" applyBorder="1" applyAlignment="1">
      <alignment horizontal="center" wrapText="1"/>
    </xf>
    <xf numFmtId="10" fontId="152" fillId="94" borderId="161" xfId="84" applyNumberFormat="1" applyFont="1" applyFill="1" applyBorder="1" applyAlignment="1">
      <alignment wrapText="1"/>
    </xf>
    <xf numFmtId="168" fontId="152" fillId="94" borderId="161" xfId="84" applyNumberFormat="1" applyFont="1" applyFill="1" applyBorder="1" applyAlignment="1">
      <alignment wrapText="1"/>
    </xf>
    <xf numFmtId="165" fontId="154" fillId="94" borderId="161" xfId="84" applyNumberFormat="1" applyFont="1" applyFill="1" applyBorder="1" applyAlignment="1">
      <alignment horizontal="right" wrapText="1"/>
    </xf>
    <xf numFmtId="168" fontId="153" fillId="94" borderId="161" xfId="84" applyNumberFormat="1" applyFont="1" applyFill="1" applyBorder="1" applyAlignment="1">
      <alignment wrapText="1"/>
    </xf>
    <xf numFmtId="9" fontId="153" fillId="94" borderId="161" xfId="84" applyNumberFormat="1" applyFont="1" applyFill="1" applyBorder="1" applyAlignment="1">
      <alignment wrapText="1"/>
    </xf>
    <xf numFmtId="165" fontId="153" fillId="94" borderId="161" xfId="84" applyNumberFormat="1" applyFont="1" applyFill="1" applyBorder="1" applyAlignment="1">
      <alignment horizontal="right" wrapText="1"/>
    </xf>
    <xf numFmtId="0" fontId="152" fillId="99" borderId="161" xfId="84" applyNumberFormat="1" applyFont="1" applyFill="1" applyBorder="1" applyAlignment="1">
      <alignment horizontal="center" vertical="center" wrapText="1"/>
    </xf>
    <xf numFmtId="165" fontId="152" fillId="99" borderId="161" xfId="84" applyNumberFormat="1" applyFont="1" applyFill="1" applyBorder="1" applyAlignment="1">
      <alignment horizontal="center" vertical="center" wrapText="1"/>
    </xf>
    <xf numFmtId="168" fontId="152" fillId="99" borderId="161" xfId="84" applyNumberFormat="1" applyFont="1" applyFill="1" applyBorder="1" applyAlignment="1">
      <alignment horizontal="center" vertical="center" wrapText="1"/>
    </xf>
    <xf numFmtId="0" fontId="152" fillId="103" borderId="161" xfId="84" applyNumberFormat="1" applyFont="1" applyFill="1" applyBorder="1" applyAlignment="1">
      <alignment horizontal="center" vertical="center" wrapText="1"/>
    </xf>
    <xf numFmtId="165" fontId="152" fillId="103" borderId="161" xfId="84" applyNumberFormat="1" applyFont="1" applyFill="1" applyBorder="1" applyAlignment="1">
      <alignment horizontal="left" vertical="center" wrapText="1"/>
    </xf>
    <xf numFmtId="165" fontId="153" fillId="103" borderId="161" xfId="84" applyNumberFormat="1" applyFont="1" applyFill="1" applyBorder="1" applyAlignment="1">
      <alignment horizontal="center" vertical="center" wrapText="1"/>
    </xf>
    <xf numFmtId="164" fontId="153" fillId="103" borderId="161" xfId="84" applyNumberFormat="1" applyFont="1" applyFill="1" applyBorder="1" applyAlignment="1">
      <alignment vertical="center" wrapText="1"/>
    </xf>
    <xf numFmtId="168" fontId="152" fillId="103" borderId="161" xfId="84" applyNumberFormat="1" applyFont="1" applyFill="1" applyBorder="1" applyAlignment="1">
      <alignment vertical="center" wrapText="1"/>
    </xf>
    <xf numFmtId="164" fontId="152" fillId="104" borderId="161" xfId="84" applyNumberFormat="1" applyFont="1" applyFill="1" applyBorder="1" applyAlignment="1">
      <alignment horizontal="right" vertical="center" wrapText="1"/>
    </xf>
    <xf numFmtId="165" fontId="158" fillId="94" borderId="161" xfId="84" applyNumberFormat="1" applyFont="1" applyFill="1" applyBorder="1" applyAlignment="1">
      <alignment horizontal="right" vertical="center" wrapText="1"/>
    </xf>
    <xf numFmtId="9" fontId="153" fillId="94" borderId="161" xfId="84" applyNumberFormat="1" applyFont="1" applyFill="1" applyBorder="1" applyAlignment="1">
      <alignment horizontal="center" vertical="center" wrapText="1"/>
    </xf>
    <xf numFmtId="168" fontId="158" fillId="94" borderId="161" xfId="84" applyNumberFormat="1" applyFont="1" applyFill="1" applyBorder="1" applyAlignment="1">
      <alignment horizontal="right" vertical="center" wrapText="1"/>
    </xf>
    <xf numFmtId="164" fontId="158" fillId="94" borderId="161" xfId="84" applyNumberFormat="1" applyFont="1" applyFill="1" applyBorder="1" applyAlignment="1">
      <alignment horizontal="right" vertical="center" wrapText="1"/>
    </xf>
    <xf numFmtId="165" fontId="154" fillId="94" borderId="161" xfId="84" applyNumberFormat="1" applyFont="1" applyFill="1" applyBorder="1" applyAlignment="1">
      <alignment horizontal="left" vertical="center" wrapText="1"/>
    </xf>
    <xf numFmtId="168" fontId="154" fillId="94" borderId="161" xfId="84" applyNumberFormat="1" applyFont="1" applyFill="1" applyBorder="1" applyAlignment="1">
      <alignment horizontal="right" vertical="center" wrapText="1"/>
    </xf>
    <xf numFmtId="164" fontId="154" fillId="94" borderId="161" xfId="84" applyNumberFormat="1" applyFont="1" applyFill="1" applyBorder="1" applyAlignment="1">
      <alignment horizontal="right" vertical="center" wrapText="1"/>
    </xf>
    <xf numFmtId="0" fontId="152" fillId="96" borderId="161" xfId="84" applyNumberFormat="1" applyFont="1" applyFill="1" applyBorder="1" applyAlignment="1">
      <alignment horizontal="center" vertical="center" wrapText="1"/>
    </xf>
    <xf numFmtId="165" fontId="152" fillId="96" borderId="161" xfId="84" applyNumberFormat="1" applyFont="1" applyFill="1" applyBorder="1" applyAlignment="1">
      <alignment vertical="center" wrapText="1"/>
    </xf>
    <xf numFmtId="10" fontId="153" fillId="96" borderId="161" xfId="84" applyNumberFormat="1" applyFont="1" applyFill="1" applyBorder="1" applyAlignment="1">
      <alignment horizontal="center" vertical="center" wrapText="1"/>
    </xf>
    <xf numFmtId="10" fontId="152" fillId="96" borderId="161" xfId="84" applyNumberFormat="1" applyFont="1" applyFill="1" applyBorder="1" applyAlignment="1">
      <alignment horizontal="center" vertical="center" wrapText="1"/>
    </xf>
    <xf numFmtId="168" fontId="152" fillId="96" borderId="161" xfId="84" applyNumberFormat="1" applyFont="1" applyFill="1" applyBorder="1" applyAlignment="1">
      <alignment vertical="center" wrapText="1"/>
    </xf>
    <xf numFmtId="164" fontId="152" fillId="96" borderId="161" xfId="84" applyNumberFormat="1" applyFont="1" applyFill="1" applyBorder="1" applyAlignment="1">
      <alignment vertical="center" wrapText="1"/>
    </xf>
    <xf numFmtId="10" fontId="153" fillId="94" borderId="161" xfId="84" applyNumberFormat="1" applyFont="1" applyFill="1" applyBorder="1" applyAlignment="1">
      <alignment vertical="center" wrapText="1"/>
    </xf>
    <xf numFmtId="168" fontId="154" fillId="100" borderId="161" xfId="84" applyNumberFormat="1" applyFont="1" applyFill="1" applyBorder="1" applyAlignment="1">
      <alignment horizontal="right" vertical="center" wrapText="1"/>
    </xf>
    <xf numFmtId="10" fontId="153" fillId="94" borderId="160" xfId="84" applyNumberFormat="1" applyFont="1" applyFill="1" applyBorder="1" applyAlignment="1">
      <alignment vertical="center" wrapText="1"/>
    </xf>
    <xf numFmtId="0" fontId="152" fillId="105" borderId="161" xfId="84" applyNumberFormat="1" applyFont="1" applyFill="1" applyBorder="1" applyAlignment="1">
      <alignment horizontal="center" vertical="center" wrapText="1"/>
    </xf>
    <xf numFmtId="165" fontId="152" fillId="105" borderId="161" xfId="84" applyNumberFormat="1" applyFont="1" applyFill="1" applyBorder="1" applyAlignment="1">
      <alignment vertical="center" wrapText="1"/>
    </xf>
    <xf numFmtId="9" fontId="152" fillId="105" borderId="161" xfId="84" applyNumberFormat="1" applyFont="1" applyFill="1" applyBorder="1" applyAlignment="1">
      <alignment horizontal="center" vertical="center" wrapText="1"/>
    </xf>
    <xf numFmtId="169" fontId="152" fillId="105" borderId="161" xfId="84" applyNumberFormat="1" applyFont="1" applyFill="1" applyBorder="1" applyAlignment="1">
      <alignment horizontal="center" vertical="center" wrapText="1"/>
    </xf>
    <xf numFmtId="168" fontId="152" fillId="105" borderId="161" xfId="84" applyNumberFormat="1" applyFont="1" applyFill="1" applyBorder="1" applyAlignment="1">
      <alignment vertical="center" wrapText="1"/>
    </xf>
    <xf numFmtId="164" fontId="152" fillId="105" borderId="161" xfId="84" applyNumberFormat="1" applyFont="1" applyFill="1" applyBorder="1" applyAlignment="1">
      <alignment vertical="center" wrapText="1"/>
    </xf>
    <xf numFmtId="165" fontId="153" fillId="94" borderId="161" xfId="84" applyNumberFormat="1" applyFont="1" applyFill="1" applyBorder="1" applyAlignment="1">
      <alignment horizontal="center" vertical="center" wrapText="1"/>
    </xf>
    <xf numFmtId="10" fontId="152" fillId="94" borderId="161" xfId="84" applyNumberFormat="1" applyFont="1" applyFill="1" applyBorder="1" applyAlignment="1">
      <alignment vertical="center" wrapText="1"/>
    </xf>
    <xf numFmtId="168" fontId="152" fillId="94" borderId="161" xfId="84" applyNumberFormat="1" applyFont="1" applyFill="1" applyBorder="1" applyAlignment="1">
      <alignment vertical="center" wrapText="1"/>
    </xf>
    <xf numFmtId="165" fontId="154" fillId="94" borderId="161" xfId="84" applyNumberFormat="1" applyFont="1" applyFill="1" applyBorder="1" applyAlignment="1">
      <alignment horizontal="right" vertical="center" wrapText="1"/>
    </xf>
    <xf numFmtId="168" fontId="153" fillId="94" borderId="161" xfId="84" applyNumberFormat="1" applyFont="1" applyFill="1" applyBorder="1" applyAlignment="1">
      <alignment vertical="center" wrapText="1"/>
    </xf>
    <xf numFmtId="9" fontId="153" fillId="94" borderId="161" xfId="84" applyNumberFormat="1" applyFont="1" applyFill="1" applyBorder="1" applyAlignment="1">
      <alignment vertical="center" wrapText="1"/>
    </xf>
    <xf numFmtId="165" fontId="153" fillId="94" borderId="161" xfId="84" applyNumberFormat="1" applyFont="1" applyFill="1" applyBorder="1" applyAlignment="1">
      <alignment horizontal="right" vertical="center" wrapText="1"/>
    </xf>
    <xf numFmtId="0" fontId="152" fillId="106" borderId="161" xfId="84" applyNumberFormat="1" applyFont="1" applyFill="1" applyBorder="1" applyAlignment="1">
      <alignment horizontal="center" vertical="center" wrapText="1"/>
    </xf>
    <xf numFmtId="165" fontId="152" fillId="106" borderId="161" xfId="84" applyNumberFormat="1" applyFont="1" applyFill="1" applyBorder="1" applyAlignment="1">
      <alignment horizontal="left" vertical="center" wrapText="1"/>
    </xf>
    <xf numFmtId="164" fontId="153" fillId="106" borderId="161" xfId="84" applyNumberFormat="1" applyFont="1" applyFill="1" applyBorder="1" applyAlignment="1">
      <alignment vertical="center" wrapText="1"/>
    </xf>
    <xf numFmtId="168" fontId="152" fillId="106" borderId="161" xfId="84" applyNumberFormat="1" applyFont="1" applyFill="1" applyBorder="1" applyAlignment="1">
      <alignment vertical="center" wrapText="1"/>
    </xf>
    <xf numFmtId="164" fontId="152" fillId="106" borderId="161" xfId="84" applyNumberFormat="1" applyFont="1" applyFill="1" applyBorder="1" applyAlignment="1">
      <alignment horizontal="right" vertical="center" wrapText="1"/>
    </xf>
    <xf numFmtId="0" fontId="152" fillId="106" borderId="176" xfId="84" applyNumberFormat="1" applyFont="1" applyFill="1" applyBorder="1" applyAlignment="1">
      <alignment horizontal="center" vertical="center" wrapText="1"/>
    </xf>
    <xf numFmtId="165" fontId="152" fillId="106" borderId="176" xfId="84" applyNumberFormat="1" applyFont="1" applyFill="1" applyBorder="1" applyAlignment="1">
      <alignment horizontal="left" vertical="center" wrapText="1"/>
    </xf>
    <xf numFmtId="164" fontId="153" fillId="106" borderId="176" xfId="84" applyNumberFormat="1" applyFont="1" applyFill="1" applyBorder="1" applyAlignment="1">
      <alignment vertical="center" wrapText="1"/>
    </xf>
    <xf numFmtId="168" fontId="152" fillId="106" borderId="176" xfId="84" applyNumberFormat="1" applyFont="1" applyFill="1" applyBorder="1" applyAlignment="1">
      <alignment vertical="center" wrapText="1"/>
    </xf>
    <xf numFmtId="164" fontId="152" fillId="106" borderId="176" xfId="84" applyNumberFormat="1" applyFont="1" applyFill="1" applyBorder="1" applyAlignment="1">
      <alignment horizontal="right" vertical="center" wrapText="1"/>
    </xf>
    <xf numFmtId="165" fontId="158" fillId="107" borderId="161" xfId="84" applyNumberFormat="1" applyFont="1" applyFill="1" applyBorder="1" applyAlignment="1">
      <alignment horizontal="right" vertical="center" wrapText="1"/>
    </xf>
    <xf numFmtId="164" fontId="153" fillId="107" borderId="161" xfId="84" applyNumberFormat="1" applyFont="1" applyFill="1" applyBorder="1" applyAlignment="1">
      <alignment vertical="center" wrapText="1"/>
    </xf>
    <xf numFmtId="168" fontId="158" fillId="107" borderId="161" xfId="84" applyNumberFormat="1" applyFont="1" applyFill="1" applyBorder="1" applyAlignment="1">
      <alignment horizontal="right" vertical="center" wrapText="1"/>
    </xf>
    <xf numFmtId="164" fontId="158" fillId="107" borderId="161" xfId="84" applyNumberFormat="1" applyFont="1" applyFill="1" applyBorder="1" applyAlignment="1">
      <alignment horizontal="right" vertical="center" wrapText="1"/>
    </xf>
    <xf numFmtId="164" fontId="153" fillId="107" borderId="160" xfId="84" applyNumberFormat="1" applyFont="1" applyFill="1" applyBorder="1" applyAlignment="1">
      <alignment vertical="center" wrapText="1"/>
    </xf>
    <xf numFmtId="165" fontId="158" fillId="107" borderId="176" xfId="84" applyNumberFormat="1" applyFont="1" applyFill="1" applyBorder="1" applyAlignment="1">
      <alignment horizontal="right" vertical="center" wrapText="1"/>
    </xf>
    <xf numFmtId="164" fontId="153" fillId="107" borderId="176" xfId="84" applyNumberFormat="1" applyFont="1" applyFill="1" applyBorder="1" applyAlignment="1">
      <alignment vertical="center" wrapText="1"/>
    </xf>
    <xf numFmtId="168" fontId="158" fillId="107" borderId="176" xfId="84" applyNumberFormat="1" applyFont="1" applyFill="1" applyBorder="1" applyAlignment="1">
      <alignment horizontal="right" vertical="center" wrapText="1"/>
    </xf>
    <xf numFmtId="164" fontId="158" fillId="107" borderId="176" xfId="84" applyNumberFormat="1" applyFont="1" applyFill="1" applyBorder="1" applyAlignment="1">
      <alignment horizontal="right" vertical="center" wrapText="1"/>
    </xf>
    <xf numFmtId="164" fontId="153" fillId="107" borderId="178" xfId="84" applyNumberFormat="1" applyFont="1" applyFill="1" applyBorder="1" applyAlignment="1">
      <alignment vertical="center" wrapText="1"/>
    </xf>
    <xf numFmtId="165" fontId="154" fillId="106" borderId="161" xfId="84" applyNumberFormat="1" applyFont="1" applyFill="1" applyBorder="1" applyAlignment="1">
      <alignment horizontal="left" vertical="center" wrapText="1"/>
    </xf>
    <xf numFmtId="10" fontId="153" fillId="106" borderId="173" xfId="84" applyNumberFormat="1" applyFont="1" applyFill="1" applyBorder="1" applyAlignment="1">
      <alignment horizontal="center" vertical="center" wrapText="1"/>
    </xf>
    <xf numFmtId="10" fontId="153" fillId="106" borderId="161" xfId="84" applyNumberFormat="1" applyFont="1" applyFill="1" applyBorder="1" applyAlignment="1">
      <alignment horizontal="center" vertical="center" wrapText="1"/>
    </xf>
    <xf numFmtId="168" fontId="154" fillId="106" borderId="161" xfId="84" applyNumberFormat="1" applyFont="1" applyFill="1" applyBorder="1" applyAlignment="1">
      <alignment horizontal="right" vertical="center" wrapText="1"/>
    </xf>
    <xf numFmtId="164" fontId="154" fillId="106" borderId="161" xfId="84" applyNumberFormat="1" applyFont="1" applyFill="1" applyBorder="1" applyAlignment="1">
      <alignment horizontal="right" vertical="center" wrapText="1"/>
    </xf>
    <xf numFmtId="165" fontId="154" fillId="106" borderId="176" xfId="84" applyNumberFormat="1" applyFont="1" applyFill="1" applyBorder="1" applyAlignment="1">
      <alignment horizontal="left" vertical="center" wrapText="1"/>
    </xf>
    <xf numFmtId="10" fontId="153" fillId="106" borderId="176" xfId="84" applyNumberFormat="1" applyFont="1" applyFill="1" applyBorder="1" applyAlignment="1">
      <alignment horizontal="center" vertical="center" wrapText="1"/>
    </xf>
    <xf numFmtId="168" fontId="154" fillId="106" borderId="176" xfId="84" applyNumberFormat="1" applyFont="1" applyFill="1" applyBorder="1" applyAlignment="1">
      <alignment horizontal="right" vertical="center" wrapText="1"/>
    </xf>
    <xf numFmtId="164" fontId="154" fillId="106" borderId="176" xfId="84" applyNumberFormat="1" applyFont="1" applyFill="1" applyBorder="1" applyAlignment="1">
      <alignment horizontal="right" vertical="center" wrapText="1"/>
    </xf>
    <xf numFmtId="165" fontId="154" fillId="107" borderId="161" xfId="84" applyNumberFormat="1" applyFont="1" applyFill="1" applyBorder="1" applyAlignment="1">
      <alignment horizontal="left" vertical="center" wrapText="1"/>
    </xf>
    <xf numFmtId="10" fontId="153" fillId="107" borderId="174" xfId="84" applyNumberFormat="1" applyFont="1" applyFill="1" applyBorder="1" applyAlignment="1">
      <alignment horizontal="center" vertical="center" wrapText="1"/>
    </xf>
    <xf numFmtId="10" fontId="153" fillId="107" borderId="161" xfId="84" applyNumberFormat="1" applyFont="1" applyFill="1" applyBorder="1" applyAlignment="1">
      <alignment horizontal="center" vertical="center" wrapText="1"/>
    </xf>
    <xf numFmtId="168" fontId="154" fillId="107" borderId="161" xfId="84" applyNumberFormat="1" applyFont="1" applyFill="1" applyBorder="1" applyAlignment="1">
      <alignment horizontal="right" vertical="center" wrapText="1"/>
    </xf>
    <xf numFmtId="164" fontId="154" fillId="107" borderId="161" xfId="84" applyNumberFormat="1" applyFont="1" applyFill="1" applyBorder="1" applyAlignment="1">
      <alignment horizontal="right" vertical="center" wrapText="1"/>
    </xf>
    <xf numFmtId="165" fontId="154" fillId="107" borderId="176" xfId="84" applyNumberFormat="1" applyFont="1" applyFill="1" applyBorder="1" applyAlignment="1">
      <alignment horizontal="left" vertical="center" wrapText="1"/>
    </xf>
    <xf numFmtId="10" fontId="153" fillId="107" borderId="180" xfId="84" applyNumberFormat="1" applyFont="1" applyFill="1" applyBorder="1" applyAlignment="1">
      <alignment horizontal="center" vertical="center" wrapText="1"/>
    </xf>
    <xf numFmtId="10" fontId="153" fillId="107" borderId="176" xfId="84" applyNumberFormat="1" applyFont="1" applyFill="1" applyBorder="1" applyAlignment="1">
      <alignment horizontal="center" vertical="center" wrapText="1"/>
    </xf>
    <xf numFmtId="168" fontId="154" fillId="107" borderId="176" xfId="84" applyNumberFormat="1" applyFont="1" applyFill="1" applyBorder="1" applyAlignment="1">
      <alignment horizontal="right" vertical="center" wrapText="1"/>
    </xf>
    <xf numFmtId="164" fontId="154" fillId="107" borderId="176" xfId="84" applyNumberFormat="1" applyFont="1" applyFill="1" applyBorder="1" applyAlignment="1">
      <alignment horizontal="right" vertical="center" wrapText="1"/>
    </xf>
    <xf numFmtId="10" fontId="153" fillId="106" borderId="174" xfId="84" applyNumberFormat="1" applyFont="1" applyFill="1" applyBorder="1" applyAlignment="1">
      <alignment horizontal="center" vertical="center" wrapText="1"/>
    </xf>
    <xf numFmtId="10" fontId="153" fillId="106" borderId="180" xfId="84" applyNumberFormat="1" applyFont="1" applyFill="1" applyBorder="1" applyAlignment="1">
      <alignment horizontal="center" vertical="center" wrapText="1"/>
    </xf>
    <xf numFmtId="10" fontId="153" fillId="106" borderId="165" xfId="84" applyNumberFormat="1" applyFont="1" applyFill="1" applyBorder="1" applyAlignment="1">
      <alignment horizontal="center" vertical="center" wrapText="1"/>
    </xf>
    <xf numFmtId="10" fontId="153" fillId="107" borderId="173" xfId="84" applyNumberFormat="1" applyFont="1" applyFill="1" applyBorder="1" applyAlignment="1">
      <alignment horizontal="center" vertical="center" wrapText="1"/>
    </xf>
    <xf numFmtId="10" fontId="153" fillId="107" borderId="165" xfId="84" applyNumberFormat="1" applyFont="1" applyFill="1" applyBorder="1" applyAlignment="1">
      <alignment horizontal="center" vertical="center" wrapText="1"/>
    </xf>
    <xf numFmtId="165" fontId="152" fillId="106" borderId="161" xfId="84" applyNumberFormat="1" applyFont="1" applyFill="1" applyBorder="1" applyAlignment="1">
      <alignment vertical="center" wrapText="1"/>
    </xf>
    <xf numFmtId="10" fontId="152" fillId="106" borderId="161" xfId="84" applyNumberFormat="1" applyFont="1" applyFill="1" applyBorder="1" applyAlignment="1">
      <alignment horizontal="center" vertical="center" wrapText="1"/>
    </xf>
    <xf numFmtId="164" fontId="152" fillId="106" borderId="161" xfId="84" applyNumberFormat="1" applyFont="1" applyFill="1" applyBorder="1" applyAlignment="1">
      <alignment vertical="center" wrapText="1"/>
    </xf>
    <xf numFmtId="165" fontId="152" fillId="106" borderId="176" xfId="84" applyNumberFormat="1" applyFont="1" applyFill="1" applyBorder="1" applyAlignment="1">
      <alignment vertical="center" wrapText="1"/>
    </xf>
    <xf numFmtId="10" fontId="152" fillId="106" borderId="176" xfId="84" applyNumberFormat="1" applyFont="1" applyFill="1" applyBorder="1" applyAlignment="1">
      <alignment horizontal="center" vertical="center" wrapText="1"/>
    </xf>
    <xf numFmtId="164" fontId="152" fillId="106" borderId="176" xfId="84" applyNumberFormat="1" applyFont="1" applyFill="1" applyBorder="1" applyAlignment="1">
      <alignment vertical="center" wrapText="1"/>
    </xf>
    <xf numFmtId="10" fontId="153" fillId="107" borderId="161" xfId="84" applyNumberFormat="1" applyFont="1" applyFill="1" applyBorder="1" applyAlignment="1">
      <alignment vertical="center" wrapText="1"/>
    </xf>
    <xf numFmtId="10" fontId="153" fillId="107" borderId="176" xfId="84" applyNumberFormat="1" applyFont="1" applyFill="1" applyBorder="1" applyAlignment="1">
      <alignment vertical="center" wrapText="1"/>
    </xf>
    <xf numFmtId="164" fontId="153" fillId="106" borderId="173" xfId="84" applyNumberFormat="1" applyFont="1" applyFill="1" applyBorder="1" applyAlignment="1">
      <alignment horizontal="center" vertical="center" wrapText="1"/>
    </xf>
    <xf numFmtId="10" fontId="153" fillId="106" borderId="160" xfId="84" applyNumberFormat="1" applyFont="1" applyFill="1" applyBorder="1" applyAlignment="1">
      <alignment vertical="center" wrapText="1"/>
    </xf>
    <xf numFmtId="10" fontId="153" fillId="106" borderId="178" xfId="84" applyNumberFormat="1" applyFont="1" applyFill="1" applyBorder="1" applyAlignment="1">
      <alignment vertical="center" wrapText="1"/>
    </xf>
    <xf numFmtId="164" fontId="153" fillId="107" borderId="174" xfId="84" applyNumberFormat="1" applyFont="1" applyFill="1" applyBorder="1" applyAlignment="1">
      <alignment horizontal="center" vertical="center" wrapText="1"/>
    </xf>
    <xf numFmtId="164" fontId="153" fillId="107" borderId="180" xfId="84" applyNumberFormat="1" applyFont="1" applyFill="1" applyBorder="1" applyAlignment="1">
      <alignment horizontal="center" vertical="center" wrapText="1"/>
    </xf>
    <xf numFmtId="164" fontId="153" fillId="106" borderId="174" xfId="84" applyNumberFormat="1" applyFont="1" applyFill="1" applyBorder="1" applyAlignment="1">
      <alignment horizontal="center" vertical="center" wrapText="1"/>
    </xf>
    <xf numFmtId="164" fontId="153" fillId="106" borderId="180" xfId="84" applyNumberFormat="1" applyFont="1" applyFill="1" applyBorder="1" applyAlignment="1">
      <alignment horizontal="center" vertical="center" wrapText="1"/>
    </xf>
    <xf numFmtId="164" fontId="153" fillId="106" borderId="165" xfId="84" applyNumberFormat="1" applyFont="1" applyFill="1" applyBorder="1" applyAlignment="1">
      <alignment horizontal="center" vertical="center" wrapText="1"/>
    </xf>
    <xf numFmtId="164" fontId="153" fillId="107" borderId="173" xfId="84" applyNumberFormat="1" applyFont="1" applyFill="1" applyBorder="1" applyAlignment="1">
      <alignment horizontal="center" vertical="center" wrapText="1"/>
    </xf>
    <xf numFmtId="164" fontId="153" fillId="107" borderId="176" xfId="84" applyNumberFormat="1" applyFont="1" applyFill="1" applyBorder="1" applyAlignment="1">
      <alignment horizontal="center" vertical="center" wrapText="1"/>
    </xf>
    <xf numFmtId="164" fontId="153" fillId="107" borderId="165" xfId="84" applyNumberFormat="1" applyFont="1" applyFill="1" applyBorder="1" applyAlignment="1">
      <alignment horizontal="center" vertical="center" wrapText="1"/>
    </xf>
    <xf numFmtId="0" fontId="152" fillId="107" borderId="161" xfId="84" applyNumberFormat="1" applyFont="1" applyFill="1" applyBorder="1" applyAlignment="1">
      <alignment horizontal="center" vertical="center" wrapText="1"/>
    </xf>
    <xf numFmtId="165" fontId="152" fillId="107" borderId="161" xfId="84" applyNumberFormat="1" applyFont="1" applyFill="1" applyBorder="1" applyAlignment="1">
      <alignment vertical="center" wrapText="1"/>
    </xf>
    <xf numFmtId="9" fontId="152" fillId="107" borderId="161" xfId="84" applyNumberFormat="1" applyFont="1" applyFill="1" applyBorder="1" applyAlignment="1">
      <alignment horizontal="center" vertical="center" wrapText="1"/>
    </xf>
    <xf numFmtId="169" fontId="152" fillId="107" borderId="161" xfId="84" applyNumberFormat="1" applyFont="1" applyFill="1" applyBorder="1" applyAlignment="1">
      <alignment horizontal="center" vertical="center" wrapText="1"/>
    </xf>
    <xf numFmtId="168" fontId="152" fillId="107" borderId="161" xfId="84" applyNumberFormat="1" applyFont="1" applyFill="1" applyBorder="1" applyAlignment="1">
      <alignment vertical="center" wrapText="1"/>
    </xf>
    <xf numFmtId="164" fontId="152" fillId="107" borderId="161" xfId="84" applyNumberFormat="1" applyFont="1" applyFill="1" applyBorder="1" applyAlignment="1">
      <alignment vertical="center" wrapText="1"/>
    </xf>
    <xf numFmtId="0" fontId="152" fillId="107" borderId="176" xfId="84" applyNumberFormat="1" applyFont="1" applyFill="1" applyBorder="1" applyAlignment="1">
      <alignment horizontal="center" vertical="center" wrapText="1"/>
    </xf>
    <xf numFmtId="165" fontId="152" fillId="107" borderId="176" xfId="84" applyNumberFormat="1" applyFont="1" applyFill="1" applyBorder="1" applyAlignment="1">
      <alignment vertical="center" wrapText="1"/>
    </xf>
    <xf numFmtId="9" fontId="152" fillId="107" borderId="176" xfId="84" applyNumberFormat="1" applyFont="1" applyFill="1" applyBorder="1" applyAlignment="1">
      <alignment horizontal="center" vertical="center" wrapText="1"/>
    </xf>
    <xf numFmtId="169" fontId="152" fillId="107" borderId="176" xfId="84" applyNumberFormat="1" applyFont="1" applyFill="1" applyBorder="1" applyAlignment="1">
      <alignment horizontal="center" vertical="center" wrapText="1"/>
    </xf>
    <xf numFmtId="168" fontId="152" fillId="107" borderId="176" xfId="84" applyNumberFormat="1" applyFont="1" applyFill="1" applyBorder="1" applyAlignment="1">
      <alignment vertical="center" wrapText="1"/>
    </xf>
    <xf numFmtId="164" fontId="152" fillId="107" borderId="176" xfId="84" applyNumberFormat="1" applyFont="1" applyFill="1" applyBorder="1" applyAlignment="1">
      <alignment vertical="center" wrapText="1"/>
    </xf>
    <xf numFmtId="165" fontId="158" fillId="106" borderId="161" xfId="84" applyNumberFormat="1" applyFont="1" applyFill="1" applyBorder="1" applyAlignment="1">
      <alignment horizontal="right" vertical="center" wrapText="1"/>
    </xf>
    <xf numFmtId="10" fontId="152" fillId="106" borderId="161" xfId="84" applyNumberFormat="1" applyFont="1" applyFill="1" applyBorder="1" applyAlignment="1">
      <alignment vertical="center" wrapText="1"/>
    </xf>
    <xf numFmtId="165" fontId="158" fillId="106" borderId="176" xfId="84" applyNumberFormat="1" applyFont="1" applyFill="1" applyBorder="1" applyAlignment="1">
      <alignment horizontal="right" vertical="center" wrapText="1"/>
    </xf>
    <xf numFmtId="10" fontId="152" fillId="106" borderId="176" xfId="84" applyNumberFormat="1" applyFont="1" applyFill="1" applyBorder="1" applyAlignment="1">
      <alignment vertical="center" wrapText="1"/>
    </xf>
    <xf numFmtId="165" fontId="154" fillId="107" borderId="161" xfId="84" applyNumberFormat="1" applyFont="1" applyFill="1" applyBorder="1" applyAlignment="1">
      <alignment horizontal="right" vertical="center" wrapText="1"/>
    </xf>
    <xf numFmtId="168" fontId="153" fillId="107" borderId="161" xfId="84" applyNumberFormat="1" applyFont="1" applyFill="1" applyBorder="1" applyAlignment="1">
      <alignment vertical="center" wrapText="1"/>
    </xf>
    <xf numFmtId="165" fontId="154" fillId="107" borderId="176" xfId="84" applyNumberFormat="1" applyFont="1" applyFill="1" applyBorder="1" applyAlignment="1">
      <alignment horizontal="right" vertical="center" wrapText="1"/>
    </xf>
    <xf numFmtId="168" fontId="153" fillId="107" borderId="176" xfId="84" applyNumberFormat="1" applyFont="1" applyFill="1" applyBorder="1" applyAlignment="1">
      <alignment vertical="center" wrapText="1"/>
    </xf>
    <xf numFmtId="165" fontId="154" fillId="106" borderId="161" xfId="84" applyNumberFormat="1" applyFont="1" applyFill="1" applyBorder="1" applyAlignment="1">
      <alignment horizontal="right" vertical="center" wrapText="1"/>
    </xf>
    <xf numFmtId="168" fontId="153" fillId="106" borderId="161" xfId="84" applyNumberFormat="1" applyFont="1" applyFill="1" applyBorder="1" applyAlignment="1">
      <alignment vertical="center" wrapText="1"/>
    </xf>
    <xf numFmtId="165" fontId="154" fillId="106" borderId="176" xfId="84" applyNumberFormat="1" applyFont="1" applyFill="1" applyBorder="1" applyAlignment="1">
      <alignment horizontal="right" vertical="center" wrapText="1"/>
    </xf>
    <xf numFmtId="168" fontId="153" fillId="106" borderId="176" xfId="84" applyNumberFormat="1" applyFont="1" applyFill="1" applyBorder="1" applyAlignment="1">
      <alignment vertical="center" wrapText="1"/>
    </xf>
    <xf numFmtId="9" fontId="153" fillId="106" borderId="161" xfId="84" applyNumberFormat="1" applyFont="1" applyFill="1" applyBorder="1" applyAlignment="1">
      <alignment vertical="center" wrapText="1"/>
    </xf>
    <xf numFmtId="9" fontId="153" fillId="106" borderId="176" xfId="84" applyNumberFormat="1" applyFont="1" applyFill="1" applyBorder="1" applyAlignment="1">
      <alignment vertical="center" wrapText="1"/>
    </xf>
    <xf numFmtId="165" fontId="153" fillId="106" borderId="161" xfId="84" applyNumberFormat="1" applyFont="1" applyFill="1" applyBorder="1" applyAlignment="1">
      <alignment horizontal="right" vertical="center" wrapText="1"/>
    </xf>
    <xf numFmtId="168" fontId="152" fillId="108" borderId="161" xfId="84" applyNumberFormat="1" applyFont="1" applyFill="1" applyBorder="1" applyAlignment="1">
      <alignment horizontal="center" vertical="center" wrapText="1"/>
    </xf>
    <xf numFmtId="168" fontId="155" fillId="108" borderId="161" xfId="84" applyNumberFormat="1" applyFont="1" applyFill="1" applyBorder="1" applyAlignment="1">
      <alignment horizontal="center" vertical="center" wrapText="1"/>
    </xf>
    <xf numFmtId="168" fontId="155" fillId="108" borderId="177" xfId="84" applyNumberFormat="1" applyFont="1" applyFill="1" applyBorder="1" applyAlignment="1">
      <alignment horizontal="center" vertical="center" wrapText="1"/>
    </xf>
    <xf numFmtId="0" fontId="159" fillId="106" borderId="176" xfId="84" applyNumberFormat="1" applyFont="1" applyFill="1" applyBorder="1" applyAlignment="1">
      <alignment horizontal="center" vertical="center" wrapText="1"/>
    </xf>
    <xf numFmtId="0" fontId="159" fillId="106" borderId="176" xfId="84" applyNumberFormat="1" applyFont="1" applyFill="1" applyBorder="1" applyAlignment="1">
      <alignment horizontal="right" vertical="center" wrapText="1"/>
    </xf>
    <xf numFmtId="168" fontId="152" fillId="106" borderId="176" xfId="84" applyNumberFormat="1" applyFont="1" applyFill="1" applyBorder="1" applyAlignment="1">
      <alignment horizontal="right" vertical="center" wrapText="1"/>
    </xf>
    <xf numFmtId="164" fontId="153" fillId="107" borderId="178" xfId="84" applyNumberFormat="1" applyFont="1" applyFill="1" applyBorder="1" applyAlignment="1">
      <alignment horizontal="right" vertical="center" wrapText="1"/>
    </xf>
    <xf numFmtId="165" fontId="160" fillId="106" borderId="176" xfId="84" applyNumberFormat="1" applyFont="1" applyFill="1" applyBorder="1" applyAlignment="1">
      <alignment horizontal="left" vertical="center" wrapText="1"/>
    </xf>
    <xf numFmtId="165" fontId="160" fillId="106" borderId="176" xfId="84" applyNumberFormat="1" applyFont="1" applyFill="1" applyBorder="1" applyAlignment="1">
      <alignment horizontal="right" vertical="center" wrapText="1"/>
    </xf>
    <xf numFmtId="10" fontId="153" fillId="106" borderId="176" xfId="84" applyNumberFormat="1" applyFont="1" applyFill="1" applyBorder="1" applyAlignment="1">
      <alignment horizontal="right" vertical="center" wrapText="1"/>
    </xf>
    <xf numFmtId="168" fontId="160" fillId="106" borderId="176" xfId="84" applyNumberFormat="1" applyFont="1" applyFill="1" applyBorder="1" applyAlignment="1">
      <alignment horizontal="right" vertical="center" wrapText="1"/>
    </xf>
    <xf numFmtId="165" fontId="160" fillId="107" borderId="176" xfId="84" applyNumberFormat="1" applyFont="1" applyFill="1" applyBorder="1" applyAlignment="1">
      <alignment horizontal="left" vertical="center" wrapText="1"/>
    </xf>
    <xf numFmtId="165" fontId="160" fillId="107" borderId="176" xfId="84" applyNumberFormat="1" applyFont="1" applyFill="1" applyBorder="1" applyAlignment="1">
      <alignment horizontal="right" vertical="center" wrapText="1"/>
    </xf>
    <xf numFmtId="10" fontId="153" fillId="107" borderId="176" xfId="84" applyNumberFormat="1" applyFont="1" applyFill="1" applyBorder="1" applyAlignment="1">
      <alignment horizontal="right" vertical="center" wrapText="1"/>
    </xf>
    <xf numFmtId="168" fontId="160" fillId="107" borderId="176" xfId="84" applyNumberFormat="1" applyFont="1" applyFill="1" applyBorder="1" applyAlignment="1">
      <alignment horizontal="right" vertical="center" wrapText="1"/>
    </xf>
    <xf numFmtId="10" fontId="153" fillId="106" borderId="178" xfId="84" applyNumberFormat="1" applyFont="1" applyFill="1" applyBorder="1" applyAlignment="1">
      <alignment horizontal="right" vertical="center" wrapText="1"/>
    </xf>
    <xf numFmtId="164" fontId="153" fillId="107" borderId="176" xfId="84" applyNumberFormat="1" applyFont="1" applyFill="1" applyBorder="1" applyAlignment="1">
      <alignment horizontal="right" vertical="center" wrapText="1"/>
    </xf>
    <xf numFmtId="0" fontId="159" fillId="107" borderId="176" xfId="84" applyNumberFormat="1" applyFont="1" applyFill="1" applyBorder="1" applyAlignment="1">
      <alignment horizontal="center" vertical="center" wrapText="1"/>
    </xf>
    <xf numFmtId="0" fontId="159" fillId="107" borderId="176" xfId="84" applyNumberFormat="1" applyFont="1" applyFill="1" applyBorder="1" applyAlignment="1">
      <alignment horizontal="right" vertical="center" wrapText="1"/>
    </xf>
    <xf numFmtId="10" fontId="152" fillId="106" borderId="176" xfId="84" applyNumberFormat="1" applyFont="1" applyFill="1" applyBorder="1" applyAlignment="1">
      <alignment horizontal="right" vertical="center" wrapText="1"/>
    </xf>
    <xf numFmtId="9" fontId="156" fillId="106" borderId="176" xfId="84" applyNumberFormat="1" applyFont="1" applyFill="1" applyBorder="1" applyAlignment="1">
      <alignment vertical="center" wrapText="1"/>
    </xf>
    <xf numFmtId="168" fontId="153" fillId="106" borderId="176" xfId="84" applyNumberFormat="1" applyFont="1" applyFill="1" applyBorder="1" applyAlignment="1">
      <alignment horizontal="right" vertical="center" wrapText="1"/>
    </xf>
    <xf numFmtId="0" fontId="152" fillId="94" borderId="161" xfId="84" applyNumberFormat="1" applyFont="1" applyFill="1" applyBorder="1" applyAlignment="1">
      <alignment horizontal="center" vertical="center"/>
    </xf>
    <xf numFmtId="0" fontId="154" fillId="94" borderId="160" xfId="84" applyNumberFormat="1" applyFont="1" applyFill="1" applyBorder="1"/>
    <xf numFmtId="0" fontId="154" fillId="94" borderId="161" xfId="84" applyNumberFormat="1" applyFont="1" applyFill="1" applyBorder="1" applyAlignment="1">
      <alignment horizontal="center" vertical="center"/>
    </xf>
    <xf numFmtId="0" fontId="154" fillId="94" borderId="161" xfId="84" applyNumberFormat="1" applyFont="1" applyFill="1" applyBorder="1" applyAlignment="1">
      <alignment horizontal="left" vertical="center"/>
    </xf>
    <xf numFmtId="164" fontId="154" fillId="94" borderId="161" xfId="84" applyNumberFormat="1" applyFont="1" applyFill="1" applyBorder="1"/>
    <xf numFmtId="164" fontId="154" fillId="94" borderId="160" xfId="84" applyNumberFormat="1" applyFont="1" applyFill="1" applyBorder="1"/>
    <xf numFmtId="0" fontId="154" fillId="94" borderId="160" xfId="84" applyNumberFormat="1" applyFont="1" applyFill="1" applyBorder="1" applyAlignment="1">
      <alignment horizontal="center" vertical="center"/>
    </xf>
    <xf numFmtId="168" fontId="154" fillId="94" borderId="160" xfId="84" applyNumberFormat="1" applyFont="1" applyFill="1" applyBorder="1"/>
    <xf numFmtId="0" fontId="154" fillId="94" borderId="160" xfId="84" applyNumberFormat="1" applyFont="1" applyFill="1" applyBorder="1" applyAlignment="1">
      <alignment wrapText="1"/>
    </xf>
    <xf numFmtId="0" fontId="154" fillId="94" borderId="161" xfId="84" applyNumberFormat="1" applyFont="1" applyFill="1" applyBorder="1" applyAlignment="1">
      <alignment horizontal="center" vertical="center" wrapText="1"/>
    </xf>
    <xf numFmtId="0" fontId="154" fillId="94" borderId="161" xfId="84" applyNumberFormat="1" applyFont="1" applyFill="1" applyBorder="1" applyAlignment="1">
      <alignment horizontal="left" vertical="center" wrapText="1"/>
    </xf>
    <xf numFmtId="164" fontId="154" fillId="94" borderId="161" xfId="84" applyNumberFormat="1" applyFont="1" applyFill="1" applyBorder="1" applyAlignment="1">
      <alignment wrapText="1"/>
    </xf>
    <xf numFmtId="164" fontId="154" fillId="94" borderId="160" xfId="84" applyNumberFormat="1" applyFont="1" applyFill="1" applyBorder="1" applyAlignment="1">
      <alignment wrapText="1"/>
    </xf>
    <xf numFmtId="0" fontId="154" fillId="94" borderId="160" xfId="84" applyNumberFormat="1" applyFont="1" applyFill="1" applyBorder="1" applyAlignment="1">
      <alignment horizontal="center" vertical="center" wrapText="1"/>
    </xf>
    <xf numFmtId="168" fontId="154" fillId="94" borderId="160" xfId="84" applyNumberFormat="1" applyFont="1" applyFill="1" applyBorder="1" applyAlignment="1">
      <alignment wrapText="1"/>
    </xf>
    <xf numFmtId="0" fontId="154" fillId="94" borderId="160" xfId="84" applyNumberFormat="1" applyFont="1" applyFill="1" applyBorder="1" applyAlignment="1">
      <alignment vertical="center" wrapText="1"/>
    </xf>
    <xf numFmtId="164" fontId="154" fillId="94" borderId="161" xfId="84" applyNumberFormat="1" applyFont="1" applyFill="1" applyBorder="1" applyAlignment="1">
      <alignment vertical="center" wrapText="1"/>
    </xf>
    <xf numFmtId="164" fontId="154" fillId="94" borderId="160" xfId="84" applyNumberFormat="1" applyFont="1" applyFill="1" applyBorder="1" applyAlignment="1">
      <alignment vertical="center" wrapText="1"/>
    </xf>
    <xf numFmtId="168" fontId="154" fillId="94" borderId="160" xfId="84" applyNumberFormat="1" applyFont="1" applyFill="1" applyBorder="1" applyAlignment="1">
      <alignment vertical="center" wrapText="1"/>
    </xf>
    <xf numFmtId="0" fontId="154" fillId="106" borderId="161" xfId="84" applyNumberFormat="1" applyFont="1" applyFill="1" applyBorder="1" applyAlignment="1">
      <alignment horizontal="center" vertical="center" wrapText="1"/>
    </xf>
    <xf numFmtId="0" fontId="154" fillId="106" borderId="161" xfId="84" applyNumberFormat="1" applyFont="1" applyFill="1" applyBorder="1" applyAlignment="1">
      <alignment horizontal="left" vertical="center" wrapText="1"/>
    </xf>
    <xf numFmtId="164" fontId="154" fillId="106" borderId="161" xfId="84" applyNumberFormat="1" applyFont="1" applyFill="1" applyBorder="1" applyAlignment="1">
      <alignment vertical="center" wrapText="1"/>
    </xf>
    <xf numFmtId="164" fontId="154" fillId="106" borderId="160" xfId="84" applyNumberFormat="1" applyFont="1" applyFill="1" applyBorder="1" applyAlignment="1">
      <alignment vertical="center" wrapText="1"/>
    </xf>
    <xf numFmtId="0" fontId="154" fillId="106" borderId="176" xfId="84" applyNumberFormat="1" applyFont="1" applyFill="1" applyBorder="1" applyAlignment="1">
      <alignment horizontal="center" vertical="center" wrapText="1"/>
    </xf>
    <xf numFmtId="0" fontId="154" fillId="106" borderId="176" xfId="84" applyNumberFormat="1" applyFont="1" applyFill="1" applyBorder="1" applyAlignment="1">
      <alignment horizontal="left" vertical="center" wrapText="1"/>
    </xf>
    <xf numFmtId="164" fontId="154" fillId="106" borderId="176" xfId="84" applyNumberFormat="1" applyFont="1" applyFill="1" applyBorder="1" applyAlignment="1">
      <alignment vertical="center" wrapText="1"/>
    </xf>
    <xf numFmtId="164" fontId="154" fillId="106" borderId="178" xfId="84" applyNumberFormat="1" applyFont="1" applyFill="1" applyBorder="1" applyAlignment="1">
      <alignment vertical="center" wrapText="1"/>
    </xf>
    <xf numFmtId="0" fontId="154" fillId="107" borderId="160" xfId="84" applyNumberFormat="1" applyFont="1" applyFill="1" applyBorder="1" applyAlignment="1">
      <alignment horizontal="center" vertical="center" wrapText="1"/>
    </xf>
    <xf numFmtId="168" fontId="154" fillId="107" borderId="160" xfId="84" applyNumberFormat="1" applyFont="1" applyFill="1" applyBorder="1" applyAlignment="1">
      <alignment vertical="center" wrapText="1"/>
    </xf>
    <xf numFmtId="0" fontId="154" fillId="107" borderId="160" xfId="84" applyNumberFormat="1" applyFont="1" applyFill="1" applyBorder="1" applyAlignment="1">
      <alignment vertical="center" wrapText="1"/>
    </xf>
    <xf numFmtId="0" fontId="154" fillId="107" borderId="178" xfId="84" applyNumberFormat="1" applyFont="1" applyFill="1" applyBorder="1" applyAlignment="1">
      <alignment horizontal="center" vertical="center" wrapText="1"/>
    </xf>
    <xf numFmtId="168" fontId="154" fillId="107" borderId="178" xfId="84" applyNumberFormat="1" applyFont="1" applyFill="1" applyBorder="1" applyAlignment="1">
      <alignment vertical="center" wrapText="1"/>
    </xf>
    <xf numFmtId="0" fontId="154" fillId="107" borderId="178" xfId="84" applyNumberFormat="1" applyFont="1" applyFill="1" applyBorder="1" applyAlignment="1">
      <alignment vertical="center" wrapText="1"/>
    </xf>
    <xf numFmtId="0" fontId="154" fillId="108" borderId="160" xfId="84" applyNumberFormat="1" applyFont="1" applyFill="1" applyBorder="1" applyAlignment="1">
      <alignment vertical="center" wrapText="1"/>
    </xf>
    <xf numFmtId="0" fontId="155" fillId="108" borderId="160" xfId="84" applyNumberFormat="1" applyFont="1" applyFill="1" applyBorder="1" applyAlignment="1">
      <alignment vertical="center" wrapText="1"/>
    </xf>
    <xf numFmtId="0" fontId="155" fillId="108" borderId="179" xfId="84" applyNumberFormat="1" applyFont="1" applyFill="1" applyBorder="1" applyAlignment="1">
      <alignment vertical="center" wrapText="1"/>
    </xf>
    <xf numFmtId="0" fontId="155" fillId="108" borderId="179" xfId="84" applyNumberFormat="1" applyFont="1" applyFill="1" applyBorder="1" applyAlignment="1">
      <alignment horizontal="center" vertical="center" wrapText="1"/>
    </xf>
    <xf numFmtId="0" fontId="161" fillId="106" borderId="176" xfId="84" applyNumberFormat="1" applyFont="1" applyFill="1" applyBorder="1" applyAlignment="1">
      <alignment horizontal="center" vertical="center" wrapText="1"/>
    </xf>
    <xf numFmtId="0" fontId="161" fillId="106" borderId="176" xfId="84" applyNumberFormat="1" applyFont="1" applyFill="1" applyBorder="1" applyAlignment="1">
      <alignment horizontal="right" vertical="center" wrapText="1"/>
    </xf>
    <xf numFmtId="164" fontId="160" fillId="106" borderId="176" xfId="84" applyNumberFormat="1" applyFont="1" applyFill="1" applyBorder="1" applyAlignment="1">
      <alignment vertical="center" wrapText="1"/>
    </xf>
    <xf numFmtId="164" fontId="160" fillId="106" borderId="176" xfId="84" applyNumberFormat="1" applyFont="1" applyFill="1" applyBorder="1" applyAlignment="1">
      <alignment horizontal="right" vertical="center" wrapText="1"/>
    </xf>
    <xf numFmtId="164" fontId="154" fillId="106" borderId="178" xfId="84" applyNumberFormat="1" applyFont="1" applyFill="1" applyBorder="1" applyAlignment="1">
      <alignment horizontal="right" vertical="center" wrapText="1"/>
    </xf>
    <xf numFmtId="0" fontId="154" fillId="107" borderId="178" xfId="84" applyNumberFormat="1" applyFont="1" applyFill="1" applyBorder="1" applyAlignment="1">
      <alignment horizontal="right" vertical="center" wrapText="1"/>
    </xf>
    <xf numFmtId="165" fontId="152" fillId="94" borderId="161" xfId="84" applyNumberFormat="1" applyFont="1" applyFill="1" applyBorder="1" applyAlignment="1">
      <alignment horizontal="center" vertical="center"/>
    </xf>
    <xf numFmtId="165" fontId="154" fillId="94" borderId="161" xfId="84" applyNumberFormat="1" applyFont="1" applyFill="1" applyBorder="1" applyAlignment="1">
      <alignment horizontal="left" vertical="center"/>
    </xf>
    <xf numFmtId="165" fontId="154" fillId="94" borderId="161" xfId="84" applyNumberFormat="1" applyFont="1" applyFill="1" applyBorder="1" applyAlignment="1">
      <alignment horizontal="center" vertical="center"/>
    </xf>
    <xf numFmtId="165" fontId="152" fillId="94" borderId="162" xfId="84" applyNumberFormat="1" applyFont="1" applyFill="1" applyBorder="1" applyAlignment="1">
      <alignment horizontal="center" vertical="center"/>
    </xf>
    <xf numFmtId="165" fontId="152" fillId="94" borderId="175" xfId="84" applyNumberFormat="1" applyFont="1" applyFill="1" applyBorder="1" applyAlignment="1">
      <alignment horizontal="center" vertical="center"/>
    </xf>
    <xf numFmtId="165" fontId="152" fillId="94" borderId="167" xfId="84" applyNumberFormat="1" applyFont="1" applyFill="1" applyBorder="1" applyAlignment="1">
      <alignment horizontal="center" vertical="center"/>
    </xf>
    <xf numFmtId="165" fontId="152" fillId="94" borderId="161" xfId="84" applyNumberFormat="1" applyFont="1" applyFill="1" applyBorder="1" applyAlignment="1">
      <alignment horizontal="center" vertical="center" wrapText="1"/>
    </xf>
    <xf numFmtId="165" fontId="152" fillId="94" borderId="162" xfId="84" applyNumberFormat="1" applyFont="1" applyFill="1" applyBorder="1" applyAlignment="1">
      <alignment horizontal="center" vertical="center" wrapText="1"/>
    </xf>
    <xf numFmtId="165" fontId="152" fillId="94" borderId="175" xfId="84" applyNumberFormat="1" applyFont="1" applyFill="1" applyBorder="1" applyAlignment="1">
      <alignment horizontal="center" vertical="center" wrapText="1"/>
    </xf>
    <xf numFmtId="165" fontId="152" fillId="94" borderId="167" xfId="84" applyNumberFormat="1" applyFont="1" applyFill="1" applyBorder="1" applyAlignment="1">
      <alignment horizontal="center" vertical="center" wrapText="1"/>
    </xf>
    <xf numFmtId="165" fontId="152" fillId="106" borderId="161" xfId="84" applyNumberFormat="1" applyFont="1" applyFill="1" applyBorder="1" applyAlignment="1">
      <alignment horizontal="center" vertical="center" wrapText="1"/>
    </xf>
    <xf numFmtId="165" fontId="152" fillId="106" borderId="176" xfId="84" applyNumberFormat="1" applyFont="1" applyFill="1" applyBorder="1" applyAlignment="1">
      <alignment horizontal="center" vertical="center" wrapText="1"/>
    </xf>
    <xf numFmtId="0" fontId="154" fillId="107" borderId="161" xfId="84" applyNumberFormat="1" applyFont="1" applyFill="1" applyBorder="1" applyAlignment="1">
      <alignment horizontal="center" vertical="center" wrapText="1"/>
    </xf>
    <xf numFmtId="0" fontId="154" fillId="107" borderId="176" xfId="84" applyNumberFormat="1" applyFont="1" applyFill="1" applyBorder="1" applyAlignment="1">
      <alignment horizontal="center" vertical="center" wrapText="1"/>
    </xf>
    <xf numFmtId="165" fontId="152" fillId="107" borderId="162" xfId="84" applyNumberFormat="1" applyFont="1" applyFill="1" applyBorder="1" applyAlignment="1">
      <alignment horizontal="center" vertical="center" wrapText="1"/>
    </xf>
    <xf numFmtId="165" fontId="152" fillId="107" borderId="175" xfId="84" applyNumberFormat="1" applyFont="1" applyFill="1" applyBorder="1" applyAlignment="1">
      <alignment horizontal="center" vertical="center" wrapText="1"/>
    </xf>
    <xf numFmtId="165" fontId="152" fillId="107" borderId="167" xfId="84" applyNumberFormat="1" applyFont="1" applyFill="1" applyBorder="1" applyAlignment="1">
      <alignment horizontal="center" vertical="center" wrapText="1"/>
    </xf>
    <xf numFmtId="165" fontId="152" fillId="107" borderId="181" xfId="84" applyNumberFormat="1" applyFont="1" applyFill="1" applyBorder="1" applyAlignment="1">
      <alignment horizontal="center" vertical="center" wrapText="1"/>
    </xf>
    <xf numFmtId="165" fontId="152" fillId="107" borderId="182" xfId="84" applyNumberFormat="1" applyFont="1" applyFill="1" applyBorder="1" applyAlignment="1">
      <alignment horizontal="center" vertical="center" wrapText="1"/>
    </xf>
    <xf numFmtId="165" fontId="152" fillId="107" borderId="183" xfId="84" applyNumberFormat="1" applyFont="1" applyFill="1" applyBorder="1" applyAlignment="1">
      <alignment horizontal="center" vertical="center" wrapText="1"/>
    </xf>
    <xf numFmtId="0" fontId="152" fillId="97" borderId="163" xfId="84" applyNumberFormat="1" applyFont="1" applyFill="1" applyBorder="1" applyAlignment="1">
      <alignment horizontal="center"/>
    </xf>
    <xf numFmtId="165" fontId="152" fillId="97" borderId="164" xfId="84" applyNumberFormat="1" applyFont="1" applyFill="1" applyBorder="1" applyAlignment="1">
      <alignment horizontal="center"/>
    </xf>
    <xf numFmtId="165" fontId="152" fillId="97" borderId="164" xfId="84" applyNumberFormat="1" applyFont="1" applyFill="1" applyBorder="1" applyAlignment="1">
      <alignment wrapText="1"/>
    </xf>
    <xf numFmtId="165" fontId="154" fillId="97" borderId="164" xfId="84" applyNumberFormat="1" applyFont="1" applyFill="1" applyBorder="1" applyAlignment="1">
      <alignment horizontal="left" wrapText="1"/>
    </xf>
    <xf numFmtId="165" fontId="154" fillId="97" borderId="164" xfId="84" applyNumberFormat="1" applyFont="1" applyFill="1" applyBorder="1" applyAlignment="1">
      <alignment horizontal="center"/>
    </xf>
    <xf numFmtId="165" fontId="154" fillId="97" borderId="164" xfId="84" applyNumberFormat="1" applyFont="1" applyFill="1" applyBorder="1" applyAlignment="1">
      <alignment horizontal="center" wrapText="1"/>
    </xf>
    <xf numFmtId="0" fontId="154" fillId="97" borderId="164" xfId="84" applyNumberFormat="1" applyFont="1" applyFill="1" applyBorder="1" applyAlignment="1">
      <alignment horizontal="center"/>
    </xf>
    <xf numFmtId="164" fontId="154" fillId="97" borderId="164" xfId="84" applyNumberFormat="1" applyFont="1" applyFill="1" applyBorder="1"/>
    <xf numFmtId="165" fontId="152" fillId="97" borderId="161" xfId="84" applyNumberFormat="1" applyFont="1" applyFill="1" applyBorder="1"/>
    <xf numFmtId="10" fontId="152" fillId="97" borderId="161" xfId="84" applyNumberFormat="1" applyFont="1" applyFill="1" applyBorder="1" applyAlignment="1">
      <alignment horizontal="center"/>
    </xf>
    <xf numFmtId="164" fontId="152" fillId="97" borderId="161" xfId="84" applyNumberFormat="1" applyFont="1" applyFill="1" applyBorder="1"/>
    <xf numFmtId="165" fontId="154" fillId="94" borderId="160" xfId="84" applyNumberFormat="1" applyFont="1" applyFill="1" applyBorder="1"/>
    <xf numFmtId="0" fontId="154" fillId="94" borderId="161" xfId="84" applyNumberFormat="1" applyFont="1" applyFill="1" applyBorder="1" applyAlignment="1">
      <alignment horizontal="center" wrapText="1"/>
    </xf>
    <xf numFmtId="164" fontId="152" fillId="94" borderId="166" xfId="84" applyNumberFormat="1" applyFont="1" applyFill="1" applyBorder="1" applyAlignment="1">
      <alignment wrapText="1"/>
    </xf>
    <xf numFmtId="165" fontId="154" fillId="94" borderId="165" xfId="84" applyNumberFormat="1" applyFont="1" applyFill="1" applyBorder="1" applyAlignment="1">
      <alignment horizontal="left" wrapText="1"/>
    </xf>
    <xf numFmtId="164" fontId="154" fillId="94" borderId="165" xfId="84" applyNumberFormat="1" applyFont="1" applyFill="1" applyBorder="1" applyAlignment="1">
      <alignment horizontal="center"/>
    </xf>
    <xf numFmtId="10" fontId="154" fillId="94" borderId="168" xfId="84" applyNumberFormat="1" applyFont="1" applyFill="1" applyBorder="1" applyAlignment="1">
      <alignment horizontal="center" vertical="center" wrapText="1"/>
    </xf>
    <xf numFmtId="10" fontId="153" fillId="94" borderId="169" xfId="84" applyNumberFormat="1" applyFont="1" applyFill="1" applyBorder="1" applyAlignment="1">
      <alignment horizontal="center" vertical="center"/>
    </xf>
    <xf numFmtId="9" fontId="154" fillId="94" borderId="165" xfId="84" applyNumberFormat="1" applyFont="1" applyFill="1" applyBorder="1" applyAlignment="1">
      <alignment horizontal="center"/>
    </xf>
    <xf numFmtId="9" fontId="154" fillId="94" borderId="161" xfId="84" applyNumberFormat="1" applyFont="1" applyFill="1" applyBorder="1" applyAlignment="1">
      <alignment horizontal="center"/>
    </xf>
    <xf numFmtId="10" fontId="153" fillId="94" borderId="170" xfId="84" applyNumberFormat="1" applyFont="1" applyFill="1" applyBorder="1" applyAlignment="1">
      <alignment horizontal="center" vertical="center"/>
    </xf>
    <xf numFmtId="10" fontId="153" fillId="94" borderId="171" xfId="84" applyNumberFormat="1" applyFont="1" applyFill="1" applyBorder="1" applyAlignment="1">
      <alignment horizontal="center" vertical="center"/>
    </xf>
    <xf numFmtId="2" fontId="154" fillId="94" borderId="161" xfId="84" applyNumberFormat="1" applyFont="1" applyFill="1" applyBorder="1" applyAlignment="1">
      <alignment wrapText="1"/>
    </xf>
    <xf numFmtId="165" fontId="154" fillId="94" borderId="165" xfId="84" applyNumberFormat="1" applyFont="1" applyFill="1" applyBorder="1" applyAlignment="1">
      <alignment horizontal="center"/>
    </xf>
    <xf numFmtId="10" fontId="153" fillId="94" borderId="166" xfId="84" applyNumberFormat="1" applyFont="1" applyFill="1" applyBorder="1" applyAlignment="1">
      <alignment horizontal="center" vertical="center"/>
    </xf>
    <xf numFmtId="10" fontId="153" fillId="94" borderId="172" xfId="84" applyNumberFormat="1" applyFont="1" applyFill="1" applyBorder="1" applyAlignment="1">
      <alignment horizontal="center" vertical="center"/>
    </xf>
    <xf numFmtId="165" fontId="154" fillId="94" borderId="173" xfId="84" applyNumberFormat="1" applyFont="1" applyFill="1" applyBorder="1" applyAlignment="1">
      <alignment wrapText="1"/>
    </xf>
    <xf numFmtId="10" fontId="154" fillId="94" borderId="162" xfId="84" applyNumberFormat="1" applyFont="1" applyFill="1" applyBorder="1" applyAlignment="1">
      <alignment horizontal="center" vertical="center"/>
    </xf>
    <xf numFmtId="10" fontId="153" fillId="94" borderId="167" xfId="84" applyNumberFormat="1" applyFont="1" applyFill="1" applyBorder="1" applyAlignment="1">
      <alignment horizontal="center" vertical="center"/>
    </xf>
    <xf numFmtId="0" fontId="152" fillId="101" borderId="161" xfId="84" applyNumberFormat="1" applyFont="1" applyFill="1" applyBorder="1" applyAlignment="1">
      <alignment horizontal="center"/>
    </xf>
    <xf numFmtId="165" fontId="152" fillId="101" borderId="161" xfId="84" applyNumberFormat="1" applyFont="1" applyFill="1" applyBorder="1" applyAlignment="1">
      <alignment horizontal="center"/>
    </xf>
    <xf numFmtId="165" fontId="152" fillId="101" borderId="161" xfId="84" applyNumberFormat="1" applyFont="1" applyFill="1" applyBorder="1" applyAlignment="1">
      <alignment horizontal="center" wrapText="1"/>
    </xf>
    <xf numFmtId="167" fontId="152" fillId="101" borderId="161" xfId="84" applyNumberFormat="1" applyFont="1" applyFill="1" applyBorder="1" applyAlignment="1">
      <alignment horizontal="center"/>
    </xf>
    <xf numFmtId="9" fontId="152" fillId="101" borderId="161" xfId="84" applyNumberFormat="1" applyFont="1" applyFill="1" applyBorder="1" applyAlignment="1">
      <alignment horizontal="center"/>
    </xf>
    <xf numFmtId="0" fontId="152" fillId="100" borderId="165" xfId="84" applyNumberFormat="1" applyFont="1" applyFill="1" applyBorder="1" applyAlignment="1">
      <alignment horizontal="center"/>
    </xf>
    <xf numFmtId="165" fontId="152" fillId="94" borderId="165" xfId="84" applyNumberFormat="1" applyFont="1" applyFill="1" applyBorder="1" applyAlignment="1">
      <alignment horizontal="center"/>
    </xf>
    <xf numFmtId="165" fontId="154" fillId="94" borderId="161" xfId="84" applyNumberFormat="1" applyFont="1" applyFill="1" applyBorder="1" applyAlignment="1">
      <alignment horizontal="center"/>
    </xf>
    <xf numFmtId="49" fontId="154" fillId="94" borderId="161" xfId="84" applyNumberFormat="1" applyFont="1" applyFill="1" applyBorder="1" applyAlignment="1">
      <alignment horizontal="center"/>
    </xf>
    <xf numFmtId="0" fontId="154" fillId="94" borderId="161" xfId="84" applyNumberFormat="1" applyFont="1" applyFill="1" applyBorder="1" applyAlignment="1">
      <alignment horizontal="center"/>
    </xf>
    <xf numFmtId="9" fontId="153" fillId="96" borderId="161" xfId="84" applyNumberFormat="1" applyFont="1" applyFill="1" applyBorder="1" applyAlignment="1">
      <alignment horizontal="center"/>
    </xf>
    <xf numFmtId="0" fontId="154" fillId="102" borderId="165" xfId="84" applyNumberFormat="1" applyFont="1" applyFill="1" applyBorder="1" applyAlignment="1">
      <alignment horizontal="center"/>
    </xf>
    <xf numFmtId="165" fontId="154" fillId="100" borderId="165" xfId="84" applyNumberFormat="1" applyFont="1" applyFill="1" applyBorder="1" applyAlignment="1">
      <alignment horizontal="center"/>
    </xf>
    <xf numFmtId="165" fontId="154" fillId="100" borderId="161" xfId="84" applyNumberFormat="1" applyFont="1" applyFill="1" applyBorder="1" applyAlignment="1">
      <alignment vertical="center" wrapText="1"/>
    </xf>
    <xf numFmtId="49" fontId="154" fillId="94" borderId="161" xfId="84" applyNumberFormat="1" applyFont="1" applyFill="1" applyBorder="1"/>
    <xf numFmtId="0" fontId="154" fillId="100" borderId="161" xfId="84" applyNumberFormat="1" applyFont="1" applyFill="1" applyBorder="1" applyAlignment="1">
      <alignment horizontal="center"/>
    </xf>
    <xf numFmtId="165" fontId="153" fillId="100" borderId="161" xfId="84" applyNumberFormat="1" applyFont="1" applyFill="1" applyBorder="1"/>
    <xf numFmtId="49" fontId="154" fillId="94" borderId="161" xfId="84" applyNumberFormat="1" applyFont="1" applyFill="1" applyBorder="1" applyAlignment="1">
      <alignment horizontal="center" vertical="center"/>
    </xf>
    <xf numFmtId="0" fontId="154" fillId="100" borderId="161" xfId="84" applyNumberFormat="1" applyFont="1" applyFill="1" applyBorder="1" applyAlignment="1">
      <alignment horizontal="center" vertical="center"/>
    </xf>
    <xf numFmtId="0" fontId="154" fillId="102" borderId="165" xfId="84" applyNumberFormat="1" applyFont="1" applyFill="1" applyBorder="1" applyAlignment="1">
      <alignment horizontal="center" vertical="center"/>
    </xf>
    <xf numFmtId="165" fontId="154" fillId="100" borderId="165" xfId="84" applyNumberFormat="1" applyFont="1" applyFill="1" applyBorder="1" applyAlignment="1">
      <alignment horizontal="center" vertical="center"/>
    </xf>
    <xf numFmtId="165" fontId="153" fillId="94" borderId="161" xfId="84" applyNumberFormat="1" applyFont="1" applyFill="1" applyBorder="1" applyAlignment="1">
      <alignment vertical="center"/>
    </xf>
    <xf numFmtId="9" fontId="153" fillId="96" borderId="161" xfId="84" applyNumberFormat="1" applyFont="1" applyFill="1" applyBorder="1" applyAlignment="1">
      <alignment horizontal="center" vertical="center"/>
    </xf>
    <xf numFmtId="165" fontId="153" fillId="100" borderId="161" xfId="84" applyNumberFormat="1" applyFont="1" applyFill="1" applyBorder="1" applyAlignment="1">
      <alignment vertical="center"/>
    </xf>
    <xf numFmtId="165" fontId="154" fillId="94" borderId="160" xfId="84" applyNumberFormat="1" applyFont="1" applyFill="1" applyBorder="1" applyAlignment="1">
      <alignment vertical="center"/>
    </xf>
    <xf numFmtId="0" fontId="154" fillId="100" borderId="165" xfId="84" applyNumberFormat="1" applyFont="1" applyFill="1" applyBorder="1" applyAlignment="1">
      <alignment horizontal="center"/>
    </xf>
    <xf numFmtId="165" fontId="154" fillId="100" borderId="161" xfId="84" applyNumberFormat="1" applyFont="1" applyFill="1" applyBorder="1"/>
    <xf numFmtId="0" fontId="152" fillId="102" borderId="165" xfId="84" applyNumberFormat="1" applyFont="1" applyFill="1" applyBorder="1" applyAlignment="1">
      <alignment horizontal="center"/>
    </xf>
    <xf numFmtId="165" fontId="152" fillId="94" borderId="166" xfId="84" applyNumberFormat="1" applyFont="1" applyFill="1" applyBorder="1" applyAlignment="1">
      <alignment wrapText="1"/>
    </xf>
    <xf numFmtId="165" fontId="154" fillId="100" borderId="161" xfId="84" applyNumberFormat="1" applyFont="1" applyFill="1" applyBorder="1" applyAlignment="1">
      <alignment horizontal="left" wrapText="1"/>
    </xf>
    <xf numFmtId="165" fontId="154" fillId="100" borderId="161" xfId="84" applyNumberFormat="1" applyFont="1" applyFill="1" applyBorder="1" applyAlignment="1">
      <alignment horizontal="center"/>
    </xf>
    <xf numFmtId="165" fontId="154" fillId="100" borderId="161" xfId="84" applyNumberFormat="1" applyFont="1" applyFill="1" applyBorder="1" applyAlignment="1">
      <alignment horizontal="center" wrapText="1"/>
    </xf>
    <xf numFmtId="165" fontId="154" fillId="94" borderId="161" xfId="84" applyNumberFormat="1" applyFont="1" applyFill="1" applyBorder="1" applyAlignment="1">
      <alignment horizontal="center" wrapText="1"/>
    </xf>
    <xf numFmtId="165" fontId="154" fillId="100" borderId="166" xfId="84" applyNumberFormat="1" applyFont="1" applyFill="1" applyBorder="1" applyAlignment="1">
      <alignment horizontal="left" wrapText="1"/>
    </xf>
    <xf numFmtId="0" fontId="154" fillId="100" borderId="165" xfId="84" applyNumberFormat="1" applyFont="1" applyFill="1" applyBorder="1" applyAlignment="1">
      <alignment horizontal="center" vertical="center"/>
    </xf>
    <xf numFmtId="165" fontId="154" fillId="94" borderId="165" xfId="84" applyNumberFormat="1" applyFont="1" applyFill="1" applyBorder="1" applyAlignment="1">
      <alignment horizontal="center" vertical="center"/>
    </xf>
    <xf numFmtId="165" fontId="154" fillId="94" borderId="162" xfId="84" applyNumberFormat="1" applyFont="1" applyFill="1" applyBorder="1" applyAlignment="1">
      <alignment horizontal="center" vertical="center" wrapText="1"/>
    </xf>
    <xf numFmtId="165" fontId="154" fillId="94" borderId="162" xfId="84" applyNumberFormat="1" applyFont="1" applyFill="1" applyBorder="1" applyAlignment="1">
      <alignment horizontal="center" wrapText="1"/>
    </xf>
    <xf numFmtId="165" fontId="152" fillId="94" borderId="160" xfId="84" applyNumberFormat="1" applyFont="1" applyFill="1" applyBorder="1" applyAlignment="1">
      <alignment wrapText="1"/>
    </xf>
    <xf numFmtId="165" fontId="152" fillId="100" borderId="161" xfId="84" applyNumberFormat="1" applyFont="1" applyFill="1" applyBorder="1"/>
    <xf numFmtId="49" fontId="154" fillId="100" borderId="161" xfId="84" applyNumberFormat="1" applyFont="1" applyFill="1" applyBorder="1" applyAlignment="1">
      <alignment horizontal="center"/>
    </xf>
    <xf numFmtId="49" fontId="153" fillId="94" borderId="160" xfId="84" applyNumberFormat="1" applyFont="1" applyFill="1" applyBorder="1"/>
    <xf numFmtId="165" fontId="154" fillId="94" borderId="166" xfId="84" applyNumberFormat="1" applyFont="1" applyFill="1" applyBorder="1" applyAlignment="1">
      <alignment wrapText="1"/>
    </xf>
    <xf numFmtId="165" fontId="152" fillId="94" borderId="165" xfId="84" applyNumberFormat="1" applyFont="1" applyFill="1" applyBorder="1" applyAlignment="1">
      <alignment wrapText="1"/>
    </xf>
    <xf numFmtId="165" fontId="154" fillId="94" borderId="165" xfId="84" applyNumberFormat="1" applyFont="1" applyFill="1" applyBorder="1" applyAlignment="1">
      <alignment wrapText="1"/>
    </xf>
    <xf numFmtId="0" fontId="152" fillId="100" borderId="165" xfId="84" applyNumberFormat="1" applyFont="1" applyFill="1" applyBorder="1" applyAlignment="1">
      <alignment horizontal="center" vertical="center"/>
    </xf>
    <xf numFmtId="165" fontId="152" fillId="94" borderId="165" xfId="84" applyNumberFormat="1" applyFont="1" applyFill="1" applyBorder="1" applyAlignment="1">
      <alignment horizontal="center" vertical="center"/>
    </xf>
    <xf numFmtId="49" fontId="154" fillId="94" borderId="161" xfId="84" applyNumberFormat="1" applyFont="1" applyFill="1" applyBorder="1" applyAlignment="1">
      <alignment vertical="center"/>
    </xf>
    <xf numFmtId="164" fontId="153" fillId="94" borderId="160" xfId="84" applyNumberFormat="1" applyFont="1" applyFill="1" applyBorder="1" applyAlignment="1">
      <alignment vertical="center"/>
    </xf>
    <xf numFmtId="165" fontId="152" fillId="100" borderId="161" xfId="84" applyNumberFormat="1" applyFont="1" applyFill="1" applyBorder="1" applyAlignment="1">
      <alignment wrapText="1"/>
    </xf>
    <xf numFmtId="165" fontId="154" fillId="100" borderId="161" xfId="84" applyNumberFormat="1" applyFont="1" applyFill="1" applyBorder="1" applyAlignment="1">
      <alignment wrapText="1"/>
    </xf>
    <xf numFmtId="165" fontId="152" fillId="100" borderId="165" xfId="84" applyNumberFormat="1" applyFont="1" applyFill="1" applyBorder="1" applyAlignment="1">
      <alignment wrapText="1"/>
    </xf>
    <xf numFmtId="0" fontId="152" fillId="100" borderId="161" xfId="84" applyNumberFormat="1" applyFont="1" applyFill="1" applyBorder="1" applyAlignment="1">
      <alignment horizontal="center" wrapText="1"/>
    </xf>
    <xf numFmtId="0" fontId="154" fillId="100" borderId="161" xfId="84" applyNumberFormat="1" applyFont="1" applyFill="1" applyBorder="1" applyAlignment="1">
      <alignment wrapText="1"/>
    </xf>
    <xf numFmtId="165" fontId="152" fillId="94" borderId="161" xfId="84" applyNumberFormat="1" applyFont="1" applyFill="1" applyBorder="1" applyAlignment="1">
      <alignment horizontal="left" wrapText="1"/>
    </xf>
    <xf numFmtId="164" fontId="152" fillId="94" borderId="160" xfId="84" applyNumberFormat="1" applyFont="1" applyFill="1" applyBorder="1"/>
    <xf numFmtId="9" fontId="152" fillId="96" borderId="161" xfId="84" applyNumberFormat="1" applyFont="1" applyFill="1" applyBorder="1" applyAlignment="1">
      <alignment horizontal="center"/>
    </xf>
    <xf numFmtId="0" fontId="154" fillId="102" borderId="161" xfId="84" applyNumberFormat="1" applyFont="1" applyFill="1" applyBorder="1" applyAlignment="1">
      <alignment horizontal="center"/>
    </xf>
    <xf numFmtId="165" fontId="154" fillId="94" borderId="165" xfId="84" applyNumberFormat="1" applyFont="1" applyFill="1" applyBorder="1" applyAlignment="1">
      <alignment horizontal="left"/>
    </xf>
    <xf numFmtId="165" fontId="154" fillId="94" borderId="162" xfId="84" applyNumberFormat="1" applyFont="1" applyFill="1" applyBorder="1" applyAlignment="1">
      <alignment wrapText="1"/>
    </xf>
    <xf numFmtId="165" fontId="154" fillId="102" borderId="162" xfId="84" applyNumberFormat="1" applyFont="1" applyFill="1" applyBorder="1" applyAlignment="1">
      <alignment wrapText="1"/>
    </xf>
    <xf numFmtId="0" fontId="152" fillId="97" borderId="163" xfId="84" applyNumberFormat="1" applyFont="1" applyFill="1" applyBorder="1" applyAlignment="1">
      <alignment horizontal="center" wrapText="1"/>
    </xf>
    <xf numFmtId="165" fontId="152" fillId="97" borderId="164" xfId="84" applyNumberFormat="1" applyFont="1" applyFill="1" applyBorder="1" applyAlignment="1">
      <alignment horizontal="center" wrapText="1"/>
    </xf>
    <xf numFmtId="0" fontId="154" fillId="97" borderId="164" xfId="84" applyNumberFormat="1" applyFont="1" applyFill="1" applyBorder="1" applyAlignment="1">
      <alignment horizontal="center" wrapText="1"/>
    </xf>
    <xf numFmtId="164" fontId="154" fillId="97" borderId="164" xfId="84" applyNumberFormat="1" applyFont="1" applyFill="1" applyBorder="1" applyAlignment="1">
      <alignment wrapText="1"/>
    </xf>
    <xf numFmtId="165" fontId="152" fillId="97" borderId="161" xfId="84" applyNumberFormat="1" applyFont="1" applyFill="1" applyBorder="1" applyAlignment="1">
      <alignment wrapText="1"/>
    </xf>
    <xf numFmtId="10" fontId="152" fillId="97" borderId="161" xfId="84" applyNumberFormat="1" applyFont="1" applyFill="1" applyBorder="1" applyAlignment="1">
      <alignment horizontal="center" wrapText="1"/>
    </xf>
    <xf numFmtId="164" fontId="152" fillId="97" borderId="161" xfId="84" applyNumberFormat="1" applyFont="1" applyFill="1" applyBorder="1" applyAlignment="1">
      <alignment wrapText="1"/>
    </xf>
    <xf numFmtId="165" fontId="154" fillId="94" borderId="160" xfId="84" applyNumberFormat="1" applyFont="1" applyFill="1" applyBorder="1" applyAlignment="1">
      <alignment wrapText="1"/>
    </xf>
    <xf numFmtId="164" fontId="154" fillId="94" borderId="165" xfId="84" applyNumberFormat="1" applyFont="1" applyFill="1" applyBorder="1" applyAlignment="1">
      <alignment horizontal="center" wrapText="1"/>
    </xf>
    <xf numFmtId="10" fontId="153" fillId="94" borderId="169" xfId="84" applyNumberFormat="1" applyFont="1" applyFill="1" applyBorder="1" applyAlignment="1">
      <alignment horizontal="center" vertical="center" wrapText="1"/>
    </xf>
    <xf numFmtId="9" fontId="154" fillId="94" borderId="165" xfId="84" applyNumberFormat="1" applyFont="1" applyFill="1" applyBorder="1" applyAlignment="1">
      <alignment horizontal="center" wrapText="1"/>
    </xf>
    <xf numFmtId="9" fontId="154" fillId="94" borderId="161" xfId="84" applyNumberFormat="1" applyFont="1" applyFill="1" applyBorder="1" applyAlignment="1">
      <alignment horizontal="center" wrapText="1"/>
    </xf>
    <xf numFmtId="10" fontId="153" fillId="94" borderId="170" xfId="84" applyNumberFormat="1" applyFont="1" applyFill="1" applyBorder="1" applyAlignment="1">
      <alignment horizontal="center" vertical="center" wrapText="1"/>
    </xf>
    <xf numFmtId="10" fontId="153" fillId="94" borderId="171" xfId="84" applyNumberFormat="1" applyFont="1" applyFill="1" applyBorder="1" applyAlignment="1">
      <alignment horizontal="center" vertical="center" wrapText="1"/>
    </xf>
    <xf numFmtId="165" fontId="154" fillId="94" borderId="165" xfId="84" applyNumberFormat="1" applyFont="1" applyFill="1" applyBorder="1" applyAlignment="1">
      <alignment horizontal="center" wrapText="1"/>
    </xf>
    <xf numFmtId="10" fontId="153" fillId="94" borderId="166" xfId="84" applyNumberFormat="1" applyFont="1" applyFill="1" applyBorder="1" applyAlignment="1">
      <alignment horizontal="center" vertical="center" wrapText="1"/>
    </xf>
    <xf numFmtId="10" fontId="153" fillId="94" borderId="172" xfId="84" applyNumberFormat="1" applyFont="1" applyFill="1" applyBorder="1" applyAlignment="1">
      <alignment horizontal="center" vertical="center" wrapText="1"/>
    </xf>
    <xf numFmtId="10" fontId="154" fillId="94" borderId="162" xfId="84" applyNumberFormat="1" applyFont="1" applyFill="1" applyBorder="1" applyAlignment="1">
      <alignment horizontal="center" vertical="center" wrapText="1"/>
    </xf>
    <xf numFmtId="10" fontId="153" fillId="94" borderId="167" xfId="84" applyNumberFormat="1" applyFont="1" applyFill="1" applyBorder="1" applyAlignment="1">
      <alignment horizontal="center" vertical="center" wrapText="1"/>
    </xf>
    <xf numFmtId="0" fontId="152" fillId="101" borderId="161" xfId="84" applyNumberFormat="1" applyFont="1" applyFill="1" applyBorder="1" applyAlignment="1">
      <alignment horizontal="center" wrapText="1"/>
    </xf>
    <xf numFmtId="167" fontId="152" fillId="101" borderId="161" xfId="84" applyNumberFormat="1" applyFont="1" applyFill="1" applyBorder="1" applyAlignment="1">
      <alignment horizontal="center" wrapText="1"/>
    </xf>
    <xf numFmtId="9" fontId="152" fillId="101" borderId="161" xfId="84" applyNumberFormat="1" applyFont="1" applyFill="1" applyBorder="1" applyAlignment="1">
      <alignment horizontal="center" wrapText="1"/>
    </xf>
    <xf numFmtId="0" fontId="152" fillId="100" borderId="165" xfId="84" applyNumberFormat="1" applyFont="1" applyFill="1" applyBorder="1" applyAlignment="1">
      <alignment horizontal="center" wrapText="1"/>
    </xf>
    <xf numFmtId="165" fontId="152" fillId="94" borderId="165" xfId="84" applyNumberFormat="1" applyFont="1" applyFill="1" applyBorder="1" applyAlignment="1">
      <alignment horizontal="center" wrapText="1"/>
    </xf>
    <xf numFmtId="49" fontId="154" fillId="94" borderId="161" xfId="84" applyNumberFormat="1" applyFont="1" applyFill="1" applyBorder="1" applyAlignment="1">
      <alignment horizontal="center" wrapText="1"/>
    </xf>
    <xf numFmtId="9" fontId="153" fillId="96" borderId="161" xfId="84" applyNumberFormat="1" applyFont="1" applyFill="1" applyBorder="1" applyAlignment="1">
      <alignment horizontal="center" wrapText="1"/>
    </xf>
    <xf numFmtId="0" fontId="154" fillId="102" borderId="165" xfId="84" applyNumberFormat="1" applyFont="1" applyFill="1" applyBorder="1" applyAlignment="1">
      <alignment horizontal="center" wrapText="1"/>
    </xf>
    <xf numFmtId="165" fontId="154" fillId="100" borderId="165" xfId="84" applyNumberFormat="1" applyFont="1" applyFill="1" applyBorder="1" applyAlignment="1">
      <alignment horizontal="center" wrapText="1"/>
    </xf>
    <xf numFmtId="49" fontId="154" fillId="94" borderId="161" xfId="84" applyNumberFormat="1" applyFont="1" applyFill="1" applyBorder="1" applyAlignment="1">
      <alignment wrapText="1"/>
    </xf>
    <xf numFmtId="0" fontId="154" fillId="100" borderId="161" xfId="84" applyNumberFormat="1" applyFont="1" applyFill="1" applyBorder="1" applyAlignment="1">
      <alignment horizontal="center" wrapText="1"/>
    </xf>
    <xf numFmtId="165" fontId="153" fillId="100" borderId="161" xfId="84" applyNumberFormat="1" applyFont="1" applyFill="1" applyBorder="1" applyAlignment="1">
      <alignment wrapText="1"/>
    </xf>
    <xf numFmtId="49" fontId="154" fillId="94" borderId="161" xfId="84" applyNumberFormat="1" applyFont="1" applyFill="1" applyBorder="1" applyAlignment="1">
      <alignment horizontal="center" vertical="center" wrapText="1"/>
    </xf>
    <xf numFmtId="0" fontId="154" fillId="100" borderId="161" xfId="84" applyNumberFormat="1" applyFont="1" applyFill="1" applyBorder="1" applyAlignment="1">
      <alignment horizontal="center" vertical="center" wrapText="1"/>
    </xf>
    <xf numFmtId="0" fontId="154" fillId="102" borderId="165" xfId="84" applyNumberFormat="1" applyFont="1" applyFill="1" applyBorder="1" applyAlignment="1">
      <alignment horizontal="center" vertical="center" wrapText="1"/>
    </xf>
    <xf numFmtId="165" fontId="154" fillId="100" borderId="165" xfId="84" applyNumberFormat="1" applyFont="1" applyFill="1" applyBorder="1" applyAlignment="1">
      <alignment horizontal="center" vertical="center" wrapText="1"/>
    </xf>
    <xf numFmtId="9" fontId="153" fillId="96" borderId="161" xfId="84" applyNumberFormat="1" applyFont="1" applyFill="1" applyBorder="1" applyAlignment="1">
      <alignment horizontal="center" vertical="center" wrapText="1"/>
    </xf>
    <xf numFmtId="165" fontId="153" fillId="100" borderId="161" xfId="84" applyNumberFormat="1" applyFont="1" applyFill="1" applyBorder="1" applyAlignment="1">
      <alignment vertical="center" wrapText="1"/>
    </xf>
    <xf numFmtId="165" fontId="154" fillId="94" borderId="160" xfId="84" applyNumberFormat="1" applyFont="1" applyFill="1" applyBorder="1" applyAlignment="1">
      <alignment vertical="center" wrapText="1"/>
    </xf>
    <xf numFmtId="0" fontId="154" fillId="100" borderId="165" xfId="84" applyNumberFormat="1" applyFont="1" applyFill="1" applyBorder="1" applyAlignment="1">
      <alignment horizontal="center" wrapText="1"/>
    </xf>
    <xf numFmtId="0" fontId="152" fillId="102" borderId="165" xfId="84" applyNumberFormat="1" applyFont="1" applyFill="1" applyBorder="1" applyAlignment="1">
      <alignment horizontal="center" wrapText="1"/>
    </xf>
    <xf numFmtId="0" fontId="154" fillId="100" borderId="165" xfId="84" applyNumberFormat="1" applyFont="1" applyFill="1" applyBorder="1" applyAlignment="1">
      <alignment horizontal="center" vertical="center" wrapText="1"/>
    </xf>
    <xf numFmtId="165" fontId="154" fillId="94" borderId="165" xfId="84" applyNumberFormat="1" applyFont="1" applyFill="1" applyBorder="1" applyAlignment="1">
      <alignment horizontal="center" vertical="center" wrapText="1"/>
    </xf>
    <xf numFmtId="49" fontId="154" fillId="100" borderId="161" xfId="84" applyNumberFormat="1" applyFont="1" applyFill="1" applyBorder="1" applyAlignment="1">
      <alignment horizontal="center" wrapText="1"/>
    </xf>
    <xf numFmtId="49" fontId="153" fillId="94" borderId="160" xfId="84" applyNumberFormat="1" applyFont="1" applyFill="1" applyBorder="1" applyAlignment="1">
      <alignment wrapText="1"/>
    </xf>
    <xf numFmtId="0" fontId="152" fillId="100" borderId="165" xfId="84" applyNumberFormat="1" applyFont="1" applyFill="1" applyBorder="1" applyAlignment="1">
      <alignment horizontal="center" vertical="center" wrapText="1"/>
    </xf>
    <xf numFmtId="165" fontId="152" fillId="94" borderId="165" xfId="84" applyNumberFormat="1" applyFont="1" applyFill="1" applyBorder="1" applyAlignment="1">
      <alignment horizontal="center" vertical="center" wrapText="1"/>
    </xf>
    <xf numFmtId="49" fontId="154" fillId="94" borderId="161" xfId="84" applyNumberFormat="1" applyFont="1" applyFill="1" applyBorder="1" applyAlignment="1">
      <alignment vertical="center" wrapText="1"/>
    </xf>
    <xf numFmtId="164" fontId="152" fillId="94" borderId="160" xfId="84" applyNumberFormat="1" applyFont="1" applyFill="1" applyBorder="1" applyAlignment="1">
      <alignment wrapText="1"/>
    </xf>
    <xf numFmtId="9" fontId="152" fillId="96" borderId="161" xfId="84" applyNumberFormat="1" applyFont="1" applyFill="1" applyBorder="1" applyAlignment="1">
      <alignment horizontal="center" wrapText="1"/>
    </xf>
    <xf numFmtId="0" fontId="154" fillId="102" borderId="161" xfId="84" applyNumberFormat="1" applyFont="1" applyFill="1" applyBorder="1" applyAlignment="1">
      <alignment horizontal="center" wrapText="1"/>
    </xf>
    <xf numFmtId="0" fontId="152" fillId="97" borderId="163" xfId="84" applyNumberFormat="1" applyFont="1" applyFill="1" applyBorder="1" applyAlignment="1">
      <alignment horizontal="center" vertical="center" wrapText="1"/>
    </xf>
    <xf numFmtId="165" fontId="152" fillId="97" borderId="164" xfId="84" applyNumberFormat="1" applyFont="1" applyFill="1" applyBorder="1" applyAlignment="1">
      <alignment horizontal="center" vertical="center" wrapText="1"/>
    </xf>
    <xf numFmtId="165" fontId="152" fillId="97" borderId="164" xfId="84" applyNumberFormat="1" applyFont="1" applyFill="1" applyBorder="1" applyAlignment="1">
      <alignment vertical="center" wrapText="1"/>
    </xf>
    <xf numFmtId="165" fontId="154" fillId="97" borderId="164" xfId="84" applyNumberFormat="1" applyFont="1" applyFill="1" applyBorder="1" applyAlignment="1">
      <alignment horizontal="left" vertical="center" wrapText="1"/>
    </xf>
    <xf numFmtId="165" fontId="154" fillId="97" borderId="164" xfId="84" applyNumberFormat="1" applyFont="1" applyFill="1" applyBorder="1" applyAlignment="1">
      <alignment horizontal="center" vertical="center" wrapText="1"/>
    </xf>
    <xf numFmtId="0" fontId="154" fillId="97" borderId="164" xfId="84" applyNumberFormat="1" applyFont="1" applyFill="1" applyBorder="1" applyAlignment="1">
      <alignment horizontal="center" vertical="center" wrapText="1"/>
    </xf>
    <xf numFmtId="164" fontId="154" fillId="97" borderId="164" xfId="84" applyNumberFormat="1" applyFont="1" applyFill="1" applyBorder="1" applyAlignment="1">
      <alignment vertical="center" wrapText="1"/>
    </xf>
    <xf numFmtId="165" fontId="152" fillId="97" borderId="161" xfId="84" applyNumberFormat="1" applyFont="1" applyFill="1" applyBorder="1" applyAlignment="1">
      <alignment vertical="center" wrapText="1"/>
    </xf>
    <xf numFmtId="10" fontId="152" fillId="97" borderId="161" xfId="84" applyNumberFormat="1" applyFont="1" applyFill="1" applyBorder="1" applyAlignment="1">
      <alignment horizontal="center" vertical="center" wrapText="1"/>
    </xf>
    <xf numFmtId="164" fontId="152" fillId="97" borderId="161" xfId="84" applyNumberFormat="1" applyFont="1" applyFill="1" applyBorder="1" applyAlignment="1">
      <alignment vertical="center" wrapText="1"/>
    </xf>
    <xf numFmtId="164" fontId="152" fillId="94" borderId="166" xfId="84" applyNumberFormat="1" applyFont="1" applyFill="1" applyBorder="1" applyAlignment="1">
      <alignment vertical="center" wrapText="1"/>
    </xf>
    <xf numFmtId="165" fontId="154" fillId="94" borderId="165" xfId="84" applyNumberFormat="1" applyFont="1" applyFill="1" applyBorder="1" applyAlignment="1">
      <alignment horizontal="left" vertical="center" wrapText="1"/>
    </xf>
    <xf numFmtId="164" fontId="154" fillId="94" borderId="165" xfId="84" applyNumberFormat="1" applyFont="1" applyFill="1" applyBorder="1" applyAlignment="1">
      <alignment horizontal="center" vertical="center" wrapText="1"/>
    </xf>
    <xf numFmtId="9" fontId="154" fillId="94" borderId="165" xfId="84" applyNumberFormat="1" applyFont="1" applyFill="1" applyBorder="1" applyAlignment="1">
      <alignment horizontal="center" vertical="center" wrapText="1"/>
    </xf>
    <xf numFmtId="9" fontId="154" fillId="94" borderId="161" xfId="84" applyNumberFormat="1" applyFont="1" applyFill="1" applyBorder="1" applyAlignment="1">
      <alignment horizontal="center" vertical="center" wrapText="1"/>
    </xf>
    <xf numFmtId="2" fontId="154" fillId="94" borderId="161" xfId="84" applyNumberFormat="1" applyFont="1" applyFill="1" applyBorder="1" applyAlignment="1">
      <alignment vertical="center" wrapText="1"/>
    </xf>
    <xf numFmtId="165" fontId="154" fillId="94" borderId="173" xfId="84" applyNumberFormat="1" applyFont="1" applyFill="1" applyBorder="1" applyAlignment="1">
      <alignment vertical="center" wrapText="1"/>
    </xf>
    <xf numFmtId="0" fontId="152" fillId="101" borderId="161" xfId="84" applyNumberFormat="1" applyFont="1" applyFill="1" applyBorder="1" applyAlignment="1">
      <alignment horizontal="center" vertical="center" wrapText="1"/>
    </xf>
    <xf numFmtId="165" fontId="152" fillId="101" borderId="161" xfId="84" applyNumberFormat="1" applyFont="1" applyFill="1" applyBorder="1" applyAlignment="1">
      <alignment horizontal="center" vertical="center" wrapText="1"/>
    </xf>
    <xf numFmtId="167" fontId="152" fillId="101" borderId="161" xfId="84" applyNumberFormat="1" applyFont="1" applyFill="1" applyBorder="1" applyAlignment="1">
      <alignment horizontal="center" vertical="center" wrapText="1"/>
    </xf>
    <xf numFmtId="9" fontId="152" fillId="101" borderId="161" xfId="84" applyNumberFormat="1" applyFont="1" applyFill="1" applyBorder="1" applyAlignment="1">
      <alignment horizontal="center" vertical="center" wrapText="1"/>
    </xf>
    <xf numFmtId="0" fontId="152" fillId="102" borderId="165" xfId="84" applyNumberFormat="1" applyFont="1" applyFill="1" applyBorder="1" applyAlignment="1">
      <alignment horizontal="center" vertical="center" wrapText="1"/>
    </xf>
    <xf numFmtId="165" fontId="152" fillId="94" borderId="166" xfId="84" applyNumberFormat="1" applyFont="1" applyFill="1" applyBorder="1" applyAlignment="1">
      <alignment vertical="center" wrapText="1"/>
    </xf>
    <xf numFmtId="165" fontId="154" fillId="100" borderId="161" xfId="84" applyNumberFormat="1" applyFont="1" applyFill="1" applyBorder="1" applyAlignment="1">
      <alignment horizontal="left" vertical="center" wrapText="1"/>
    </xf>
    <xf numFmtId="165" fontId="154" fillId="100" borderId="161" xfId="84" applyNumberFormat="1" applyFont="1" applyFill="1" applyBorder="1" applyAlignment="1">
      <alignment horizontal="center" vertical="center" wrapText="1"/>
    </xf>
    <xf numFmtId="165" fontId="154" fillId="100" borderId="166" xfId="84" applyNumberFormat="1" applyFont="1" applyFill="1" applyBorder="1" applyAlignment="1">
      <alignment horizontal="left" vertical="center" wrapText="1"/>
    </xf>
    <xf numFmtId="165" fontId="152" fillId="94" borderId="160" xfId="84" applyNumberFormat="1" applyFont="1" applyFill="1" applyBorder="1" applyAlignment="1">
      <alignment vertical="center" wrapText="1"/>
    </xf>
    <xf numFmtId="165" fontId="152" fillId="100" borderId="161" xfId="84" applyNumberFormat="1" applyFont="1" applyFill="1" applyBorder="1" applyAlignment="1">
      <alignment vertical="center" wrapText="1"/>
    </xf>
    <xf numFmtId="49" fontId="154" fillId="100" borderId="161" xfId="84" applyNumberFormat="1" applyFont="1" applyFill="1" applyBorder="1" applyAlignment="1">
      <alignment horizontal="center" vertical="center" wrapText="1"/>
    </xf>
    <xf numFmtId="49" fontId="153" fillId="94" borderId="160" xfId="84" applyNumberFormat="1" applyFont="1" applyFill="1" applyBorder="1" applyAlignment="1">
      <alignment vertical="center" wrapText="1"/>
    </xf>
    <xf numFmtId="165" fontId="154" fillId="94" borderId="166" xfId="84" applyNumberFormat="1" applyFont="1" applyFill="1" applyBorder="1" applyAlignment="1">
      <alignment vertical="center" wrapText="1"/>
    </xf>
    <xf numFmtId="165" fontId="152" fillId="94" borderId="165" xfId="84" applyNumberFormat="1" applyFont="1" applyFill="1" applyBorder="1" applyAlignment="1">
      <alignment vertical="center" wrapText="1"/>
    </xf>
    <xf numFmtId="165" fontId="154" fillId="94" borderId="165" xfId="84" applyNumberFormat="1" applyFont="1" applyFill="1" applyBorder="1" applyAlignment="1">
      <alignment vertical="center" wrapText="1"/>
    </xf>
    <xf numFmtId="165" fontId="152" fillId="100" borderId="165" xfId="84" applyNumberFormat="1" applyFont="1" applyFill="1" applyBorder="1" applyAlignment="1">
      <alignment vertical="center" wrapText="1"/>
    </xf>
    <xf numFmtId="0" fontId="152" fillId="100" borderId="161" xfId="84" applyNumberFormat="1" applyFont="1" applyFill="1" applyBorder="1" applyAlignment="1">
      <alignment horizontal="center" vertical="center" wrapText="1"/>
    </xf>
    <xf numFmtId="0" fontId="154" fillId="100" borderId="161" xfId="84" applyNumberFormat="1" applyFont="1" applyFill="1" applyBorder="1" applyAlignment="1">
      <alignment vertical="center" wrapText="1"/>
    </xf>
    <xf numFmtId="165" fontId="152" fillId="94" borderId="161" xfId="84" applyNumberFormat="1" applyFont="1" applyFill="1" applyBorder="1" applyAlignment="1">
      <alignment horizontal="left" vertical="center" wrapText="1"/>
    </xf>
    <xf numFmtId="164" fontId="152" fillId="94" borderId="160" xfId="84" applyNumberFormat="1" applyFont="1" applyFill="1" applyBorder="1" applyAlignment="1">
      <alignment vertical="center" wrapText="1"/>
    </xf>
    <xf numFmtId="9" fontId="152" fillId="96" borderId="161" xfId="84" applyNumberFormat="1" applyFont="1" applyFill="1" applyBorder="1" applyAlignment="1">
      <alignment horizontal="center" vertical="center" wrapText="1"/>
    </xf>
    <xf numFmtId="0" fontId="154" fillId="102" borderId="161" xfId="84" applyNumberFormat="1" applyFont="1" applyFill="1" applyBorder="1" applyAlignment="1">
      <alignment horizontal="center" vertical="center" wrapText="1"/>
    </xf>
    <xf numFmtId="165" fontId="154" fillId="94" borderId="162" xfId="84" applyNumberFormat="1" applyFont="1" applyFill="1" applyBorder="1" applyAlignment="1">
      <alignment vertical="center" wrapText="1"/>
    </xf>
    <xf numFmtId="165" fontId="154" fillId="102" borderId="162" xfId="84" applyNumberFormat="1" applyFont="1" applyFill="1" applyBorder="1" applyAlignment="1">
      <alignment vertical="center" wrapText="1"/>
    </xf>
    <xf numFmtId="164" fontId="152" fillId="106" borderId="166" xfId="84" applyNumberFormat="1" applyFont="1" applyFill="1" applyBorder="1" applyAlignment="1">
      <alignment vertical="center" wrapText="1"/>
    </xf>
    <xf numFmtId="165" fontId="154" fillId="106" borderId="165" xfId="84" applyNumberFormat="1" applyFont="1" applyFill="1" applyBorder="1" applyAlignment="1">
      <alignment horizontal="left" vertical="center" wrapText="1"/>
    </xf>
    <xf numFmtId="164" fontId="154" fillId="106" borderId="165" xfId="84" applyNumberFormat="1" applyFont="1" applyFill="1" applyBorder="1" applyAlignment="1">
      <alignment horizontal="center" vertical="center" wrapText="1"/>
    </xf>
    <xf numFmtId="10" fontId="154" fillId="106" borderId="168" xfId="84" applyNumberFormat="1" applyFont="1" applyFill="1" applyBorder="1" applyAlignment="1">
      <alignment horizontal="center" vertical="center" wrapText="1"/>
    </xf>
    <xf numFmtId="10" fontId="153" fillId="106" borderId="169" xfId="84" applyNumberFormat="1" applyFont="1" applyFill="1" applyBorder="1" applyAlignment="1">
      <alignment horizontal="center" vertical="center" wrapText="1"/>
    </xf>
    <xf numFmtId="9" fontId="154" fillId="106" borderId="165" xfId="84" applyNumberFormat="1" applyFont="1" applyFill="1" applyBorder="1" applyAlignment="1">
      <alignment horizontal="center" vertical="center" wrapText="1"/>
    </xf>
    <xf numFmtId="9" fontId="154" fillId="106" borderId="161" xfId="84" applyNumberFormat="1" applyFont="1" applyFill="1" applyBorder="1" applyAlignment="1">
      <alignment horizontal="center" vertical="center" wrapText="1"/>
    </xf>
    <xf numFmtId="165" fontId="154" fillId="106" borderId="160" xfId="84" applyNumberFormat="1" applyFont="1" applyFill="1" applyBorder="1" applyAlignment="1">
      <alignment vertical="center" wrapText="1"/>
    </xf>
    <xf numFmtId="164" fontId="152" fillId="106" borderId="184" xfId="84" applyNumberFormat="1" applyFont="1" applyFill="1" applyBorder="1" applyAlignment="1">
      <alignment vertical="center" wrapText="1"/>
    </xf>
    <xf numFmtId="165" fontId="154" fillId="106" borderId="180" xfId="84" applyNumberFormat="1" applyFont="1" applyFill="1" applyBorder="1" applyAlignment="1">
      <alignment horizontal="left" vertical="center" wrapText="1"/>
    </xf>
    <xf numFmtId="164" fontId="154" fillId="106" borderId="180" xfId="84" applyNumberFormat="1" applyFont="1" applyFill="1" applyBorder="1" applyAlignment="1">
      <alignment horizontal="center" vertical="center" wrapText="1"/>
    </xf>
    <xf numFmtId="10" fontId="154" fillId="106" borderId="181" xfId="84" applyNumberFormat="1" applyFont="1" applyFill="1" applyBorder="1" applyAlignment="1">
      <alignment horizontal="center" vertical="center" wrapText="1"/>
    </xf>
    <xf numFmtId="10" fontId="153" fillId="106" borderId="183" xfId="84" applyNumberFormat="1" applyFont="1" applyFill="1" applyBorder="1" applyAlignment="1">
      <alignment horizontal="center" vertical="center" wrapText="1"/>
    </xf>
    <xf numFmtId="9" fontId="154" fillId="106" borderId="180" xfId="84" applyNumberFormat="1" applyFont="1" applyFill="1" applyBorder="1" applyAlignment="1">
      <alignment horizontal="center" vertical="center" wrapText="1"/>
    </xf>
    <xf numFmtId="9" fontId="154" fillId="106" borderId="176" xfId="84" applyNumberFormat="1" applyFont="1" applyFill="1" applyBorder="1" applyAlignment="1">
      <alignment horizontal="center" vertical="center" wrapText="1"/>
    </xf>
    <xf numFmtId="165" fontId="154" fillId="106" borderId="178" xfId="84" applyNumberFormat="1" applyFont="1" applyFill="1" applyBorder="1" applyAlignment="1">
      <alignment vertical="center" wrapText="1"/>
    </xf>
    <xf numFmtId="164" fontId="152" fillId="107" borderId="166" xfId="84" applyNumberFormat="1" applyFont="1" applyFill="1" applyBorder="1" applyAlignment="1">
      <alignment vertical="center" wrapText="1"/>
    </xf>
    <xf numFmtId="165" fontId="154" fillId="107" borderId="165" xfId="84" applyNumberFormat="1" applyFont="1" applyFill="1" applyBorder="1" applyAlignment="1">
      <alignment horizontal="left" vertical="center" wrapText="1"/>
    </xf>
    <xf numFmtId="164" fontId="154" fillId="107" borderId="165" xfId="84" applyNumberFormat="1" applyFont="1" applyFill="1" applyBorder="1" applyAlignment="1">
      <alignment horizontal="center" vertical="center" wrapText="1"/>
    </xf>
    <xf numFmtId="10" fontId="153" fillId="107" borderId="170" xfId="84" applyNumberFormat="1" applyFont="1" applyFill="1" applyBorder="1" applyAlignment="1">
      <alignment horizontal="center" vertical="center" wrapText="1"/>
    </xf>
    <xf numFmtId="10" fontId="153" fillId="107" borderId="171" xfId="84" applyNumberFormat="1" applyFont="1" applyFill="1" applyBorder="1" applyAlignment="1">
      <alignment horizontal="center" vertical="center" wrapText="1"/>
    </xf>
    <xf numFmtId="9" fontId="154" fillId="107" borderId="165" xfId="84" applyNumberFormat="1" applyFont="1" applyFill="1" applyBorder="1" applyAlignment="1">
      <alignment horizontal="center" vertical="center" wrapText="1"/>
    </xf>
    <xf numFmtId="9" fontId="154" fillId="107" borderId="161" xfId="84" applyNumberFormat="1" applyFont="1" applyFill="1" applyBorder="1" applyAlignment="1">
      <alignment horizontal="center" vertical="center" wrapText="1"/>
    </xf>
    <xf numFmtId="164" fontId="154" fillId="107" borderId="161" xfId="84" applyNumberFormat="1" applyFont="1" applyFill="1" applyBorder="1" applyAlignment="1">
      <alignment vertical="center" wrapText="1"/>
    </xf>
    <xf numFmtId="165" fontId="154" fillId="107" borderId="160" xfId="84" applyNumberFormat="1" applyFont="1" applyFill="1" applyBorder="1" applyAlignment="1">
      <alignment vertical="center" wrapText="1"/>
    </xf>
    <xf numFmtId="164" fontId="152" fillId="107" borderId="184" xfId="84" applyNumberFormat="1" applyFont="1" applyFill="1" applyBorder="1" applyAlignment="1">
      <alignment vertical="center" wrapText="1"/>
    </xf>
    <xf numFmtId="165" fontId="154" fillId="107" borderId="180" xfId="84" applyNumberFormat="1" applyFont="1" applyFill="1" applyBorder="1" applyAlignment="1">
      <alignment horizontal="left" vertical="center" wrapText="1"/>
    </xf>
    <xf numFmtId="164" fontId="154" fillId="107" borderId="180" xfId="84" applyNumberFormat="1" applyFont="1" applyFill="1" applyBorder="1" applyAlignment="1">
      <alignment horizontal="center" vertical="center" wrapText="1"/>
    </xf>
    <xf numFmtId="10" fontId="153" fillId="107" borderId="184" xfId="84" applyNumberFormat="1" applyFont="1" applyFill="1" applyBorder="1" applyAlignment="1">
      <alignment horizontal="center" vertical="center" wrapText="1"/>
    </xf>
    <xf numFmtId="10" fontId="153" fillId="107" borderId="185" xfId="84" applyNumberFormat="1" applyFont="1" applyFill="1" applyBorder="1" applyAlignment="1">
      <alignment horizontal="center" vertical="center" wrapText="1"/>
    </xf>
    <xf numFmtId="9" fontId="154" fillId="107" borderId="180" xfId="84" applyNumberFormat="1" applyFont="1" applyFill="1" applyBorder="1" applyAlignment="1">
      <alignment horizontal="center" vertical="center" wrapText="1"/>
    </xf>
    <xf numFmtId="9" fontId="154" fillId="107" borderId="176" xfId="84" applyNumberFormat="1" applyFont="1" applyFill="1" applyBorder="1" applyAlignment="1">
      <alignment horizontal="center" vertical="center" wrapText="1"/>
    </xf>
    <xf numFmtId="164" fontId="154" fillId="107" borderId="176" xfId="84" applyNumberFormat="1" applyFont="1" applyFill="1" applyBorder="1" applyAlignment="1">
      <alignment vertical="center" wrapText="1"/>
    </xf>
    <xf numFmtId="165" fontId="154" fillId="107" borderId="178" xfId="84" applyNumberFormat="1" applyFont="1" applyFill="1" applyBorder="1" applyAlignment="1">
      <alignment vertical="center" wrapText="1"/>
    </xf>
    <xf numFmtId="10" fontId="153" fillId="106" borderId="170" xfId="84" applyNumberFormat="1" applyFont="1" applyFill="1" applyBorder="1" applyAlignment="1">
      <alignment horizontal="center" vertical="center" wrapText="1"/>
    </xf>
    <xf numFmtId="10" fontId="153" fillId="106" borderId="171" xfId="84" applyNumberFormat="1" applyFont="1" applyFill="1" applyBorder="1" applyAlignment="1">
      <alignment horizontal="center" vertical="center" wrapText="1"/>
    </xf>
    <xf numFmtId="10" fontId="153" fillId="106" borderId="184" xfId="84" applyNumberFormat="1" applyFont="1" applyFill="1" applyBorder="1" applyAlignment="1">
      <alignment horizontal="center" vertical="center" wrapText="1"/>
    </xf>
    <xf numFmtId="10" fontId="153" fillId="106" borderId="185" xfId="84" applyNumberFormat="1" applyFont="1" applyFill="1" applyBorder="1" applyAlignment="1">
      <alignment horizontal="center" vertical="center" wrapText="1"/>
    </xf>
    <xf numFmtId="2" fontId="154" fillId="106" borderId="161" xfId="84" applyNumberFormat="1" applyFont="1" applyFill="1" applyBorder="1" applyAlignment="1">
      <alignment vertical="center" wrapText="1"/>
    </xf>
    <xf numFmtId="165" fontId="154" fillId="106" borderId="165" xfId="84" applyNumberFormat="1" applyFont="1" applyFill="1" applyBorder="1" applyAlignment="1">
      <alignment horizontal="center" vertical="center" wrapText="1"/>
    </xf>
    <xf numFmtId="2" fontId="154" fillId="106" borderId="176" xfId="84" applyNumberFormat="1" applyFont="1" applyFill="1" applyBorder="1" applyAlignment="1">
      <alignment vertical="center" wrapText="1"/>
    </xf>
    <xf numFmtId="165" fontId="154" fillId="106" borderId="180" xfId="84" applyNumberFormat="1" applyFont="1" applyFill="1" applyBorder="1" applyAlignment="1">
      <alignment horizontal="center" vertical="center" wrapText="1"/>
    </xf>
    <xf numFmtId="165" fontId="154" fillId="107" borderId="165" xfId="84" applyNumberFormat="1" applyFont="1" applyFill="1" applyBorder="1" applyAlignment="1">
      <alignment horizontal="center" vertical="center" wrapText="1"/>
    </xf>
    <xf numFmtId="165" fontId="154" fillId="107" borderId="180" xfId="84" applyNumberFormat="1" applyFont="1" applyFill="1" applyBorder="1" applyAlignment="1">
      <alignment horizontal="center" vertical="center" wrapText="1"/>
    </xf>
    <xf numFmtId="10" fontId="153" fillId="106" borderId="166" xfId="84" applyNumberFormat="1" applyFont="1" applyFill="1" applyBorder="1" applyAlignment="1">
      <alignment horizontal="center" vertical="center" wrapText="1"/>
    </xf>
    <xf numFmtId="10" fontId="153" fillId="106" borderId="172" xfId="84" applyNumberFormat="1" applyFont="1" applyFill="1" applyBorder="1" applyAlignment="1">
      <alignment horizontal="center" vertical="center" wrapText="1"/>
    </xf>
    <xf numFmtId="10" fontId="154" fillId="107" borderId="168" xfId="84" applyNumberFormat="1" applyFont="1" applyFill="1" applyBorder="1" applyAlignment="1">
      <alignment horizontal="center" vertical="center" wrapText="1"/>
    </xf>
    <xf numFmtId="10" fontId="153" fillId="107" borderId="169" xfId="84" applyNumberFormat="1" applyFont="1" applyFill="1" applyBorder="1" applyAlignment="1">
      <alignment horizontal="center" vertical="center" wrapText="1"/>
    </xf>
    <xf numFmtId="10" fontId="154" fillId="107" borderId="181" xfId="84" applyNumberFormat="1" applyFont="1" applyFill="1" applyBorder="1" applyAlignment="1">
      <alignment horizontal="center" vertical="center" wrapText="1"/>
    </xf>
    <xf numFmtId="10" fontId="153" fillId="107" borderId="183" xfId="84" applyNumberFormat="1" applyFont="1" applyFill="1" applyBorder="1" applyAlignment="1">
      <alignment horizontal="center" vertical="center" wrapText="1"/>
    </xf>
    <xf numFmtId="165" fontId="154" fillId="107" borderId="173" xfId="84" applyNumberFormat="1" applyFont="1" applyFill="1" applyBorder="1" applyAlignment="1">
      <alignment vertical="center" wrapText="1"/>
    </xf>
    <xf numFmtId="10" fontId="153" fillId="107" borderId="166" xfId="84" applyNumberFormat="1" applyFont="1" applyFill="1" applyBorder="1" applyAlignment="1">
      <alignment horizontal="center" vertical="center" wrapText="1"/>
    </xf>
    <xf numFmtId="10" fontId="153" fillId="107" borderId="172" xfId="84" applyNumberFormat="1" applyFont="1" applyFill="1" applyBorder="1" applyAlignment="1">
      <alignment horizontal="center" vertical="center" wrapText="1"/>
    </xf>
    <xf numFmtId="165" fontId="154" fillId="106" borderId="173" xfId="84" applyNumberFormat="1" applyFont="1" applyFill="1" applyBorder="1" applyAlignment="1">
      <alignment vertical="center" wrapText="1"/>
    </xf>
    <xf numFmtId="10" fontId="154" fillId="106" borderId="162" xfId="84" applyNumberFormat="1" applyFont="1" applyFill="1" applyBorder="1" applyAlignment="1">
      <alignment horizontal="center" vertical="center" wrapText="1"/>
    </xf>
    <xf numFmtId="10" fontId="153" fillId="106" borderId="167" xfId="84" applyNumberFormat="1" applyFont="1" applyFill="1" applyBorder="1" applyAlignment="1">
      <alignment horizontal="center" vertical="center" wrapText="1"/>
    </xf>
    <xf numFmtId="165" fontId="152" fillId="107" borderId="161" xfId="84" applyNumberFormat="1" applyFont="1" applyFill="1" applyBorder="1" applyAlignment="1">
      <alignment horizontal="center" vertical="center" wrapText="1"/>
    </xf>
    <xf numFmtId="167" fontId="152" fillId="107" borderId="161" xfId="84" applyNumberFormat="1" applyFont="1" applyFill="1" applyBorder="1" applyAlignment="1">
      <alignment horizontal="center" vertical="center" wrapText="1"/>
    </xf>
    <xf numFmtId="165" fontId="152" fillId="107" borderId="176" xfId="84" applyNumberFormat="1" applyFont="1" applyFill="1" applyBorder="1" applyAlignment="1">
      <alignment horizontal="center" vertical="center" wrapText="1"/>
    </xf>
    <xf numFmtId="167" fontId="152" fillId="107" borderId="176" xfId="84" applyNumberFormat="1" applyFont="1" applyFill="1" applyBorder="1" applyAlignment="1">
      <alignment horizontal="center" vertical="center" wrapText="1"/>
    </xf>
    <xf numFmtId="0" fontId="152" fillId="106" borderId="165" xfId="84" applyNumberFormat="1" applyFont="1" applyFill="1" applyBorder="1" applyAlignment="1">
      <alignment horizontal="center" vertical="center" wrapText="1"/>
    </xf>
    <xf numFmtId="165" fontId="152" fillId="106" borderId="165" xfId="84" applyNumberFormat="1" applyFont="1" applyFill="1" applyBorder="1" applyAlignment="1">
      <alignment horizontal="center" vertical="center" wrapText="1"/>
    </xf>
    <xf numFmtId="49" fontId="154" fillId="106" borderId="161" xfId="84" applyNumberFormat="1" applyFont="1" applyFill="1" applyBorder="1" applyAlignment="1">
      <alignment horizontal="center" vertical="center" wrapText="1"/>
    </xf>
    <xf numFmtId="0" fontId="152" fillId="106" borderId="180" xfId="84" applyNumberFormat="1" applyFont="1" applyFill="1" applyBorder="1" applyAlignment="1">
      <alignment horizontal="center" vertical="center" wrapText="1"/>
    </xf>
    <xf numFmtId="165" fontId="152" fillId="106" borderId="180" xfId="84" applyNumberFormat="1" applyFont="1" applyFill="1" applyBorder="1" applyAlignment="1">
      <alignment horizontal="center" vertical="center" wrapText="1"/>
    </xf>
    <xf numFmtId="49" fontId="154" fillId="106" borderId="176" xfId="84" applyNumberFormat="1" applyFont="1" applyFill="1" applyBorder="1" applyAlignment="1">
      <alignment horizontal="center" vertical="center" wrapText="1"/>
    </xf>
    <xf numFmtId="0" fontId="154" fillId="107" borderId="165" xfId="84" applyNumberFormat="1" applyFont="1" applyFill="1" applyBorder="1" applyAlignment="1">
      <alignment horizontal="center" vertical="center" wrapText="1"/>
    </xf>
    <xf numFmtId="49" fontId="154" fillId="107" borderId="161" xfId="84" applyNumberFormat="1" applyFont="1" applyFill="1" applyBorder="1" applyAlignment="1">
      <alignment vertical="center" wrapText="1"/>
    </xf>
    <xf numFmtId="49" fontId="154" fillId="107" borderId="161" xfId="84" applyNumberFormat="1" applyFont="1" applyFill="1" applyBorder="1" applyAlignment="1">
      <alignment horizontal="center" vertical="center" wrapText="1"/>
    </xf>
    <xf numFmtId="0" fontId="154" fillId="107" borderId="180" xfId="84" applyNumberFormat="1" applyFont="1" applyFill="1" applyBorder="1" applyAlignment="1">
      <alignment horizontal="center" vertical="center" wrapText="1"/>
    </xf>
    <xf numFmtId="49" fontId="154" fillId="107" borderId="176" xfId="84" applyNumberFormat="1" applyFont="1" applyFill="1" applyBorder="1" applyAlignment="1">
      <alignment vertical="center" wrapText="1"/>
    </xf>
    <xf numFmtId="49" fontId="154" fillId="107" borderId="176" xfId="84" applyNumberFormat="1" applyFont="1" applyFill="1" applyBorder="1" applyAlignment="1">
      <alignment horizontal="center" vertical="center" wrapText="1"/>
    </xf>
    <xf numFmtId="0" fontId="154" fillId="106" borderId="165" xfId="84" applyNumberFormat="1" applyFont="1" applyFill="1" applyBorder="1" applyAlignment="1">
      <alignment horizontal="center" vertical="center" wrapText="1"/>
    </xf>
    <xf numFmtId="49" fontId="154" fillId="106" borderId="161" xfId="84" applyNumberFormat="1" applyFont="1" applyFill="1" applyBorder="1" applyAlignment="1">
      <alignment vertical="center" wrapText="1"/>
    </xf>
    <xf numFmtId="0" fontId="154" fillId="106" borderId="180" xfId="84" applyNumberFormat="1" applyFont="1" applyFill="1" applyBorder="1" applyAlignment="1">
      <alignment horizontal="center" vertical="center" wrapText="1"/>
    </xf>
    <xf numFmtId="49" fontId="154" fillId="106" borderId="176" xfId="84" applyNumberFormat="1" applyFont="1" applyFill="1" applyBorder="1" applyAlignment="1">
      <alignment vertical="center" wrapText="1"/>
    </xf>
    <xf numFmtId="165" fontId="152" fillId="106" borderId="166" xfId="84" applyNumberFormat="1" applyFont="1" applyFill="1" applyBorder="1" applyAlignment="1">
      <alignment vertical="center" wrapText="1"/>
    </xf>
    <xf numFmtId="165" fontId="152" fillId="106" borderId="184" xfId="84" applyNumberFormat="1" applyFont="1" applyFill="1" applyBorder="1" applyAlignment="1">
      <alignment vertical="center" wrapText="1"/>
    </xf>
    <xf numFmtId="165" fontId="154" fillId="107" borderId="166" xfId="84" applyNumberFormat="1" applyFont="1" applyFill="1" applyBorder="1" applyAlignment="1">
      <alignment horizontal="left" vertical="center" wrapText="1"/>
    </xf>
    <xf numFmtId="165" fontId="154" fillId="107" borderId="184" xfId="84" applyNumberFormat="1" applyFont="1" applyFill="1" applyBorder="1" applyAlignment="1">
      <alignment horizontal="left" vertical="center" wrapText="1"/>
    </xf>
    <xf numFmtId="165" fontId="154" fillId="107" borderId="162" xfId="84" applyNumberFormat="1" applyFont="1" applyFill="1" applyBorder="1" applyAlignment="1">
      <alignment horizontal="center" vertical="center" wrapText="1"/>
    </xf>
    <xf numFmtId="165" fontId="154" fillId="107" borderId="181" xfId="84" applyNumberFormat="1" applyFont="1" applyFill="1" applyBorder="1" applyAlignment="1">
      <alignment horizontal="center" vertical="center" wrapText="1"/>
    </xf>
    <xf numFmtId="165" fontId="154" fillId="106" borderId="162" xfId="84" applyNumberFormat="1" applyFont="1" applyFill="1" applyBorder="1" applyAlignment="1">
      <alignment horizontal="center" vertical="center" wrapText="1"/>
    </xf>
    <xf numFmtId="165" fontId="154" fillId="106" borderId="181" xfId="84" applyNumberFormat="1" applyFont="1" applyFill="1" applyBorder="1" applyAlignment="1">
      <alignment horizontal="center" vertical="center" wrapText="1"/>
    </xf>
    <xf numFmtId="0" fontId="152" fillId="107" borderId="165" xfId="84" applyNumberFormat="1" applyFont="1" applyFill="1" applyBorder="1" applyAlignment="1">
      <alignment horizontal="center" vertical="center" wrapText="1"/>
    </xf>
    <xf numFmtId="165" fontId="152" fillId="107" borderId="165" xfId="84" applyNumberFormat="1" applyFont="1" applyFill="1" applyBorder="1" applyAlignment="1">
      <alignment horizontal="center" vertical="center" wrapText="1"/>
    </xf>
    <xf numFmtId="165" fontId="152" fillId="107" borderId="160" xfId="84" applyNumberFormat="1" applyFont="1" applyFill="1" applyBorder="1" applyAlignment="1">
      <alignment vertical="center" wrapText="1"/>
    </xf>
    <xf numFmtId="0" fontId="152" fillId="107" borderId="180" xfId="84" applyNumberFormat="1" applyFont="1" applyFill="1" applyBorder="1" applyAlignment="1">
      <alignment horizontal="center" vertical="center" wrapText="1"/>
    </xf>
    <xf numFmtId="165" fontId="152" fillId="107" borderId="180" xfId="84" applyNumberFormat="1" applyFont="1" applyFill="1" applyBorder="1" applyAlignment="1">
      <alignment horizontal="center" vertical="center" wrapText="1"/>
    </xf>
    <xf numFmtId="165" fontId="152" fillId="107" borderId="178" xfId="84" applyNumberFormat="1" applyFont="1" applyFill="1" applyBorder="1" applyAlignment="1">
      <alignment vertical="center" wrapText="1"/>
    </xf>
    <xf numFmtId="165" fontId="152" fillId="107" borderId="166" xfId="84" applyNumberFormat="1" applyFont="1" applyFill="1" applyBorder="1" applyAlignment="1">
      <alignment vertical="center" wrapText="1"/>
    </xf>
    <xf numFmtId="165" fontId="152" fillId="107" borderId="184" xfId="84" applyNumberFormat="1" applyFont="1" applyFill="1" applyBorder="1" applyAlignment="1">
      <alignment vertical="center" wrapText="1"/>
    </xf>
    <xf numFmtId="49" fontId="153" fillId="107" borderId="160" xfId="84" applyNumberFormat="1" applyFont="1" applyFill="1" applyBorder="1" applyAlignment="1">
      <alignment vertical="center" wrapText="1"/>
    </xf>
    <xf numFmtId="49" fontId="153" fillId="107" borderId="178" xfId="84" applyNumberFormat="1" applyFont="1" applyFill="1" applyBorder="1" applyAlignment="1">
      <alignment vertical="center" wrapText="1"/>
    </xf>
    <xf numFmtId="165" fontId="154" fillId="107" borderId="166" xfId="84" applyNumberFormat="1" applyFont="1" applyFill="1" applyBorder="1" applyAlignment="1">
      <alignment vertical="center" wrapText="1"/>
    </xf>
    <xf numFmtId="165" fontId="154" fillId="107" borderId="184" xfId="84" applyNumberFormat="1" applyFont="1" applyFill="1" applyBorder="1" applyAlignment="1">
      <alignment vertical="center" wrapText="1"/>
    </xf>
    <xf numFmtId="165" fontId="154" fillId="106" borderId="166" xfId="84" applyNumberFormat="1" applyFont="1" applyFill="1" applyBorder="1" applyAlignment="1">
      <alignment vertical="center" wrapText="1"/>
    </xf>
    <xf numFmtId="165" fontId="154" fillId="106" borderId="184" xfId="84" applyNumberFormat="1" applyFont="1" applyFill="1" applyBorder="1" applyAlignment="1">
      <alignment vertical="center" wrapText="1"/>
    </xf>
    <xf numFmtId="165" fontId="152" fillId="107" borderId="165" xfId="84" applyNumberFormat="1" applyFont="1" applyFill="1" applyBorder="1" applyAlignment="1">
      <alignment vertical="center" wrapText="1"/>
    </xf>
    <xf numFmtId="165" fontId="152" fillId="107" borderId="180" xfId="84" applyNumberFormat="1" applyFont="1" applyFill="1" applyBorder="1" applyAlignment="1">
      <alignment vertical="center" wrapText="1"/>
    </xf>
    <xf numFmtId="165" fontId="154" fillId="106" borderId="165" xfId="84" applyNumberFormat="1" applyFont="1" applyFill="1" applyBorder="1" applyAlignment="1">
      <alignment vertical="center" wrapText="1"/>
    </xf>
    <xf numFmtId="165" fontId="154" fillId="106" borderId="180" xfId="84" applyNumberFormat="1" applyFont="1" applyFill="1" applyBorder="1" applyAlignment="1">
      <alignment vertical="center" wrapText="1"/>
    </xf>
    <xf numFmtId="165" fontId="154" fillId="107" borderId="165" xfId="84" applyNumberFormat="1" applyFont="1" applyFill="1" applyBorder="1" applyAlignment="1">
      <alignment vertical="center" wrapText="1"/>
    </xf>
    <xf numFmtId="165" fontId="154" fillId="107" borderId="180" xfId="84" applyNumberFormat="1" applyFont="1" applyFill="1" applyBorder="1" applyAlignment="1">
      <alignment vertical="center" wrapText="1"/>
    </xf>
    <xf numFmtId="165" fontId="152" fillId="106" borderId="165" xfId="84" applyNumberFormat="1" applyFont="1" applyFill="1" applyBorder="1" applyAlignment="1">
      <alignment vertical="center" wrapText="1"/>
    </xf>
    <xf numFmtId="165" fontId="152" fillId="106" borderId="180" xfId="84" applyNumberFormat="1" applyFont="1" applyFill="1" applyBorder="1" applyAlignment="1">
      <alignment vertical="center" wrapText="1"/>
    </xf>
    <xf numFmtId="0" fontId="154" fillId="107" borderId="161" xfId="84" applyNumberFormat="1" applyFont="1" applyFill="1" applyBorder="1" applyAlignment="1">
      <alignment vertical="center" wrapText="1"/>
    </xf>
    <xf numFmtId="0" fontId="154" fillId="107" borderId="176" xfId="84" applyNumberFormat="1" applyFont="1" applyFill="1" applyBorder="1" applyAlignment="1">
      <alignment vertical="center" wrapText="1"/>
    </xf>
    <xf numFmtId="0" fontId="154" fillId="106" borderId="161" xfId="84" applyNumberFormat="1" applyFont="1" applyFill="1" applyBorder="1" applyAlignment="1">
      <alignment vertical="center" wrapText="1"/>
    </xf>
    <xf numFmtId="0" fontId="154" fillId="106" borderId="176" xfId="84" applyNumberFormat="1" applyFont="1" applyFill="1" applyBorder="1" applyAlignment="1">
      <alignment vertical="center" wrapText="1"/>
    </xf>
    <xf numFmtId="164" fontId="152" fillId="107" borderId="160" xfId="84" applyNumberFormat="1" applyFont="1" applyFill="1" applyBorder="1" applyAlignment="1">
      <alignment vertical="center" wrapText="1"/>
    </xf>
    <xf numFmtId="164" fontId="152" fillId="107" borderId="178" xfId="84" applyNumberFormat="1" applyFont="1" applyFill="1" applyBorder="1" applyAlignment="1">
      <alignment vertical="center" wrapText="1"/>
    </xf>
    <xf numFmtId="165" fontId="154" fillId="106" borderId="162" xfId="84" applyNumberFormat="1" applyFont="1" applyFill="1" applyBorder="1" applyAlignment="1">
      <alignment vertical="center" wrapText="1"/>
    </xf>
    <xf numFmtId="165" fontId="154" fillId="106" borderId="181" xfId="84" applyNumberFormat="1" applyFont="1" applyFill="1" applyBorder="1" applyAlignment="1">
      <alignment vertical="center" wrapText="1"/>
    </xf>
    <xf numFmtId="165" fontId="154" fillId="107" borderId="162" xfId="84" applyNumberFormat="1" applyFont="1" applyFill="1" applyBorder="1" applyAlignment="1">
      <alignment vertical="center" wrapText="1"/>
    </xf>
    <xf numFmtId="165" fontId="154" fillId="107" borderId="181" xfId="84" applyNumberFormat="1" applyFont="1" applyFill="1" applyBorder="1" applyAlignment="1">
      <alignment vertical="center" wrapText="1"/>
    </xf>
    <xf numFmtId="0" fontId="152" fillId="108" borderId="163" xfId="84" applyNumberFormat="1" applyFont="1" applyFill="1" applyBorder="1" applyAlignment="1">
      <alignment horizontal="center" vertical="center" wrapText="1"/>
    </xf>
    <xf numFmtId="165" fontId="152" fillId="108" borderId="164" xfId="84" applyNumberFormat="1" applyFont="1" applyFill="1" applyBorder="1" applyAlignment="1">
      <alignment horizontal="center" vertical="center" wrapText="1"/>
    </xf>
    <xf numFmtId="165" fontId="152" fillId="108" borderId="164" xfId="84" applyNumberFormat="1" applyFont="1" applyFill="1" applyBorder="1" applyAlignment="1">
      <alignment vertical="center" wrapText="1"/>
    </xf>
    <xf numFmtId="165" fontId="154" fillId="108" borderId="164" xfId="84" applyNumberFormat="1" applyFont="1" applyFill="1" applyBorder="1" applyAlignment="1">
      <alignment horizontal="left" vertical="center" wrapText="1"/>
    </xf>
    <xf numFmtId="165" fontId="154" fillId="108" borderId="164" xfId="84" applyNumberFormat="1" applyFont="1" applyFill="1" applyBorder="1" applyAlignment="1">
      <alignment horizontal="center" vertical="center" wrapText="1"/>
    </xf>
    <xf numFmtId="0" fontId="154" fillId="108" borderId="164" xfId="84" applyNumberFormat="1" applyFont="1" applyFill="1" applyBorder="1" applyAlignment="1">
      <alignment horizontal="center" vertical="center" wrapText="1"/>
    </xf>
    <xf numFmtId="164" fontId="154" fillId="108" borderId="164" xfId="84" applyNumberFormat="1" applyFont="1" applyFill="1" applyBorder="1" applyAlignment="1">
      <alignment vertical="center" wrapText="1"/>
    </xf>
    <xf numFmtId="10" fontId="152" fillId="108" borderId="161" xfId="84" applyNumberFormat="1" applyFont="1" applyFill="1" applyBorder="1" applyAlignment="1">
      <alignment horizontal="center" vertical="center" wrapText="1"/>
    </xf>
    <xf numFmtId="164" fontId="152" fillId="108" borderId="161" xfId="84" applyNumberFormat="1" applyFont="1" applyFill="1" applyBorder="1" applyAlignment="1">
      <alignment vertical="center" wrapText="1"/>
    </xf>
    <xf numFmtId="164" fontId="154" fillId="108" borderId="160" xfId="84" applyNumberFormat="1" applyFont="1" applyFill="1" applyBorder="1" applyAlignment="1">
      <alignment vertical="center" wrapText="1"/>
    </xf>
    <xf numFmtId="165" fontId="154" fillId="108" borderId="160" xfId="84" applyNumberFormat="1" applyFont="1" applyFill="1" applyBorder="1" applyAlignment="1">
      <alignment vertical="center" wrapText="1"/>
    </xf>
    <xf numFmtId="0" fontId="155" fillId="108" borderId="163" xfId="84" applyNumberFormat="1" applyFont="1" applyFill="1" applyBorder="1" applyAlignment="1">
      <alignment horizontal="center" vertical="center" wrapText="1"/>
    </xf>
    <xf numFmtId="165" fontId="155" fillId="108" borderId="164" xfId="84" applyNumberFormat="1" applyFont="1" applyFill="1" applyBorder="1" applyAlignment="1">
      <alignment horizontal="center" vertical="center" wrapText="1"/>
    </xf>
    <xf numFmtId="165" fontId="155" fillId="108" borderId="164" xfId="84" applyNumberFormat="1" applyFont="1" applyFill="1" applyBorder="1" applyAlignment="1">
      <alignment vertical="center" wrapText="1"/>
    </xf>
    <xf numFmtId="165" fontId="155" fillId="108" borderId="164" xfId="84" applyNumberFormat="1" applyFont="1" applyFill="1" applyBorder="1" applyAlignment="1">
      <alignment horizontal="left" vertical="center" wrapText="1"/>
    </xf>
    <xf numFmtId="0" fontId="155" fillId="108" borderId="164" xfId="84" applyNumberFormat="1" applyFont="1" applyFill="1" applyBorder="1" applyAlignment="1">
      <alignment horizontal="center" vertical="center" wrapText="1"/>
    </xf>
    <xf numFmtId="164" fontId="155" fillId="108" borderId="164" xfId="84" applyNumberFormat="1" applyFont="1" applyFill="1" applyBorder="1" applyAlignment="1">
      <alignment vertical="center" wrapText="1"/>
    </xf>
    <xf numFmtId="10" fontId="155" fillId="108" borderId="161" xfId="84" applyNumberFormat="1" applyFont="1" applyFill="1" applyBorder="1" applyAlignment="1">
      <alignment horizontal="center" vertical="center" wrapText="1"/>
    </xf>
    <xf numFmtId="164" fontId="155" fillId="108" borderId="161" xfId="84" applyNumberFormat="1" applyFont="1" applyFill="1" applyBorder="1" applyAlignment="1">
      <alignment vertical="center" wrapText="1"/>
    </xf>
    <xf numFmtId="164" fontId="155" fillId="108" borderId="160" xfId="84" applyNumberFormat="1" applyFont="1" applyFill="1" applyBorder="1" applyAlignment="1">
      <alignment vertical="center" wrapText="1"/>
    </xf>
    <xf numFmtId="165" fontId="155" fillId="108" borderId="160" xfId="84" applyNumberFormat="1" applyFont="1" applyFill="1" applyBorder="1" applyAlignment="1">
      <alignment vertical="center" wrapText="1"/>
    </xf>
    <xf numFmtId="0" fontId="155" fillId="108" borderId="186" xfId="84" applyNumberFormat="1" applyFont="1" applyFill="1" applyBorder="1" applyAlignment="1">
      <alignment horizontal="center" vertical="center" wrapText="1"/>
    </xf>
    <xf numFmtId="165" fontId="155" fillId="108" borderId="187" xfId="84" applyNumberFormat="1" applyFont="1" applyFill="1" applyBorder="1" applyAlignment="1">
      <alignment horizontal="center" vertical="center" wrapText="1"/>
    </xf>
    <xf numFmtId="165" fontId="155" fillId="108" borderId="187" xfId="84" applyNumberFormat="1" applyFont="1" applyFill="1" applyBorder="1" applyAlignment="1">
      <alignment vertical="center" wrapText="1"/>
    </xf>
    <xf numFmtId="165" fontId="155" fillId="108" borderId="187" xfId="84" applyNumberFormat="1" applyFont="1" applyFill="1" applyBorder="1" applyAlignment="1">
      <alignment horizontal="left" vertical="center" wrapText="1"/>
    </xf>
    <xf numFmtId="0" fontId="155" fillId="108" borderId="187" xfId="84" applyNumberFormat="1" applyFont="1" applyFill="1" applyBorder="1" applyAlignment="1">
      <alignment horizontal="center" vertical="center" wrapText="1"/>
    </xf>
    <xf numFmtId="164" fontId="155" fillId="108" borderId="187" xfId="84" applyNumberFormat="1" applyFont="1" applyFill="1" applyBorder="1" applyAlignment="1">
      <alignment vertical="center" wrapText="1"/>
    </xf>
    <xf numFmtId="10" fontId="155" fillId="108" borderId="177" xfId="84" applyNumberFormat="1" applyFont="1" applyFill="1" applyBorder="1" applyAlignment="1">
      <alignment horizontal="center" vertical="center" wrapText="1"/>
    </xf>
    <xf numFmtId="164" fontId="155" fillId="108" borderId="177" xfId="84" applyNumberFormat="1" applyFont="1" applyFill="1" applyBorder="1" applyAlignment="1">
      <alignment vertical="center" wrapText="1"/>
    </xf>
    <xf numFmtId="164" fontId="155" fillId="108" borderId="179" xfId="84" applyNumberFormat="1" applyFont="1" applyFill="1" applyBorder="1" applyAlignment="1">
      <alignment vertical="center" wrapText="1"/>
    </xf>
    <xf numFmtId="165" fontId="155" fillId="108" borderId="179" xfId="84" applyNumberFormat="1" applyFont="1" applyFill="1" applyBorder="1" applyAlignment="1">
      <alignment vertical="center" wrapText="1"/>
    </xf>
    <xf numFmtId="164" fontId="155" fillId="108" borderId="187" xfId="84" applyNumberFormat="1" applyFont="1" applyFill="1" applyBorder="1" applyAlignment="1">
      <alignment horizontal="center" vertical="center" wrapText="1"/>
    </xf>
    <xf numFmtId="164" fontId="155" fillId="108" borderId="177" xfId="84" applyNumberFormat="1" applyFont="1" applyFill="1" applyBorder="1" applyAlignment="1">
      <alignment horizontal="center" vertical="center" wrapText="1"/>
    </xf>
    <xf numFmtId="164" fontId="155" fillId="108" borderId="179" xfId="84" applyNumberFormat="1" applyFont="1" applyFill="1" applyBorder="1" applyAlignment="1">
      <alignment horizontal="center" vertical="center" wrapText="1"/>
    </xf>
    <xf numFmtId="165" fontId="155" fillId="108" borderId="179" xfId="84" applyNumberFormat="1" applyFont="1" applyFill="1" applyBorder="1" applyAlignment="1">
      <alignment horizontal="center" vertical="center" wrapText="1"/>
    </xf>
    <xf numFmtId="10" fontId="154" fillId="106" borderId="181" xfId="84" applyNumberFormat="1" applyFont="1" applyFill="1" applyBorder="1" applyAlignment="1">
      <alignment horizontal="right" vertical="center" wrapText="1"/>
    </xf>
    <xf numFmtId="9" fontId="154" fillId="106" borderId="180" xfId="84" applyNumberFormat="1" applyFont="1" applyFill="1" applyBorder="1" applyAlignment="1">
      <alignment horizontal="right" vertical="center" wrapText="1"/>
    </xf>
    <xf numFmtId="9" fontId="154" fillId="106" borderId="176" xfId="84" applyNumberFormat="1" applyFont="1" applyFill="1" applyBorder="1" applyAlignment="1">
      <alignment horizontal="right" vertical="center" wrapText="1"/>
    </xf>
    <xf numFmtId="0" fontId="161" fillId="107" borderId="176" xfId="84" applyNumberFormat="1" applyFont="1" applyFill="1" applyBorder="1" applyAlignment="1">
      <alignment horizontal="center" vertical="center" wrapText="1"/>
    </xf>
    <xf numFmtId="0" fontId="161" fillId="107" borderId="176" xfId="84" applyNumberFormat="1" applyFont="1" applyFill="1" applyBorder="1" applyAlignment="1">
      <alignment horizontal="right" vertical="center" wrapText="1"/>
    </xf>
    <xf numFmtId="9" fontId="154" fillId="107" borderId="180" xfId="84" applyNumberFormat="1" applyFont="1" applyFill="1" applyBorder="1" applyAlignment="1">
      <alignment horizontal="right" vertical="center" wrapText="1"/>
    </xf>
    <xf numFmtId="9" fontId="154" fillId="107" borderId="176" xfId="84" applyNumberFormat="1" applyFont="1" applyFill="1" applyBorder="1" applyAlignment="1">
      <alignment horizontal="right" vertical="center" wrapText="1"/>
    </xf>
    <xf numFmtId="10" fontId="154" fillId="107" borderId="181" xfId="84" applyNumberFormat="1" applyFont="1" applyFill="1" applyBorder="1" applyAlignment="1">
      <alignment horizontal="right" vertical="center" wrapText="1"/>
    </xf>
    <xf numFmtId="164" fontId="154" fillId="107" borderId="178" xfId="84" applyNumberFormat="1" applyFont="1" applyFill="1" applyBorder="1" applyAlignment="1">
      <alignment vertical="center" wrapText="1"/>
    </xf>
    <xf numFmtId="0" fontId="162" fillId="107" borderId="180" xfId="84" applyNumberFormat="1" applyFont="1" applyFill="1" applyBorder="1" applyAlignment="1">
      <alignment horizontal="center" vertical="center" wrapText="1"/>
    </xf>
    <xf numFmtId="165" fontId="162" fillId="107" borderId="180" xfId="84" applyNumberFormat="1" applyFont="1" applyFill="1" applyBorder="1" applyAlignment="1">
      <alignment horizontal="center" vertical="center" wrapText="1"/>
    </xf>
    <xf numFmtId="165" fontId="162" fillId="107" borderId="176" xfId="84" applyNumberFormat="1" applyFont="1" applyFill="1" applyBorder="1" applyAlignment="1">
      <alignment vertical="center" wrapText="1"/>
    </xf>
    <xf numFmtId="165" fontId="162" fillId="107" borderId="176" xfId="84" applyNumberFormat="1" applyFont="1" applyFill="1" applyBorder="1" applyAlignment="1">
      <alignment horizontal="left" vertical="center" wrapText="1"/>
    </xf>
    <xf numFmtId="165" fontId="162" fillId="107" borderId="176" xfId="84" applyNumberFormat="1" applyFont="1" applyFill="1" applyBorder="1" applyAlignment="1">
      <alignment horizontal="center" vertical="center" wrapText="1"/>
    </xf>
    <xf numFmtId="49" fontId="162" fillId="107" borderId="176" xfId="84" applyNumberFormat="1" applyFont="1" applyFill="1" applyBorder="1" applyAlignment="1">
      <alignment horizontal="center" vertical="center" wrapText="1"/>
    </xf>
    <xf numFmtId="0" fontId="162" fillId="107" borderId="176" xfId="84" applyNumberFormat="1" applyFont="1" applyFill="1" applyBorder="1" applyAlignment="1">
      <alignment horizontal="center" vertical="center" wrapText="1"/>
    </xf>
    <xf numFmtId="165" fontId="163" fillId="107" borderId="176" xfId="84" applyNumberFormat="1" applyFont="1" applyFill="1" applyBorder="1" applyAlignment="1">
      <alignment vertical="center" wrapText="1"/>
    </xf>
    <xf numFmtId="9" fontId="163" fillId="107" borderId="176" xfId="84" applyNumberFormat="1" applyFont="1" applyFill="1" applyBorder="1" applyAlignment="1">
      <alignment horizontal="center" vertical="center" wrapText="1"/>
    </xf>
    <xf numFmtId="164" fontId="163" fillId="107" borderId="178" xfId="84" applyNumberFormat="1" applyFont="1" applyFill="1" applyBorder="1" applyAlignment="1">
      <alignment vertical="center" wrapText="1"/>
    </xf>
    <xf numFmtId="165" fontId="162" fillId="107" borderId="178" xfId="84" applyNumberFormat="1" applyFont="1" applyFill="1" applyBorder="1" applyAlignment="1">
      <alignment vertical="center" wrapText="1"/>
    </xf>
    <xf numFmtId="164" fontId="162" fillId="107" borderId="178" xfId="84" applyNumberFormat="1" applyFont="1" applyFill="1" applyBorder="1" applyAlignment="1">
      <alignment vertical="center" wrapText="1"/>
    </xf>
    <xf numFmtId="0" fontId="162" fillId="107" borderId="188" xfId="84" applyNumberFormat="1" applyFont="1" applyFill="1" applyBorder="1" applyAlignment="1">
      <alignment horizontal="center" vertical="center" wrapText="1"/>
    </xf>
    <xf numFmtId="165" fontId="162" fillId="107" borderId="188" xfId="84" applyNumberFormat="1" applyFont="1" applyFill="1" applyBorder="1" applyAlignment="1">
      <alignment horizontal="center" vertical="center" wrapText="1"/>
    </xf>
    <xf numFmtId="165" fontId="162" fillId="107" borderId="189" xfId="84" applyNumberFormat="1" applyFont="1" applyFill="1" applyBorder="1" applyAlignment="1">
      <alignment vertical="center" wrapText="1"/>
    </xf>
    <xf numFmtId="165" fontId="162" fillId="107" borderId="189" xfId="84" applyNumberFormat="1" applyFont="1" applyFill="1" applyBorder="1" applyAlignment="1">
      <alignment horizontal="left" vertical="center" wrapText="1"/>
    </xf>
    <xf numFmtId="165" fontId="162" fillId="107" borderId="189" xfId="84" applyNumberFormat="1" applyFont="1" applyFill="1" applyBorder="1" applyAlignment="1">
      <alignment horizontal="center" vertical="center" wrapText="1"/>
    </xf>
    <xf numFmtId="49" fontId="162" fillId="107" borderId="189" xfId="84" applyNumberFormat="1" applyFont="1" applyFill="1" applyBorder="1" applyAlignment="1">
      <alignment horizontal="center" vertical="center" wrapText="1"/>
    </xf>
    <xf numFmtId="0" fontId="162" fillId="107" borderId="189" xfId="84" applyNumberFormat="1" applyFont="1" applyFill="1" applyBorder="1" applyAlignment="1">
      <alignment horizontal="center" vertical="center" wrapText="1"/>
    </xf>
    <xf numFmtId="165" fontId="163" fillId="107" borderId="189" xfId="84" applyNumberFormat="1" applyFont="1" applyFill="1" applyBorder="1" applyAlignment="1">
      <alignment vertical="center" wrapText="1"/>
    </xf>
    <xf numFmtId="9" fontId="163" fillId="107" borderId="189" xfId="84" applyNumberFormat="1" applyFont="1" applyFill="1" applyBorder="1" applyAlignment="1">
      <alignment horizontal="center" vertical="center" wrapText="1"/>
    </xf>
    <xf numFmtId="164" fontId="163" fillId="107" borderId="190" xfId="84" applyNumberFormat="1" applyFont="1" applyFill="1" applyBorder="1" applyAlignment="1">
      <alignment vertical="center" wrapText="1"/>
    </xf>
    <xf numFmtId="165" fontId="162" fillId="107" borderId="190" xfId="84" applyNumberFormat="1" applyFont="1" applyFill="1" applyBorder="1" applyAlignment="1">
      <alignment vertical="center" wrapText="1"/>
    </xf>
    <xf numFmtId="164" fontId="162" fillId="107" borderId="190" xfId="84" applyNumberFormat="1" applyFont="1" applyFill="1" applyBorder="1" applyAlignment="1">
      <alignment vertical="center" wrapText="1"/>
    </xf>
    <xf numFmtId="0" fontId="159" fillId="107" borderId="188" xfId="84" applyNumberFormat="1" applyFont="1" applyFill="1" applyBorder="1" applyAlignment="1">
      <alignment horizontal="center" vertical="center" wrapText="1"/>
    </xf>
    <xf numFmtId="0" fontId="159" fillId="107" borderId="188" xfId="84" applyNumberFormat="1" applyFont="1" applyFill="1" applyBorder="1" applyAlignment="1">
      <alignment horizontal="right" vertical="center" wrapText="1"/>
    </xf>
    <xf numFmtId="165" fontId="152" fillId="107" borderId="189" xfId="84" applyNumberFormat="1" applyFont="1" applyFill="1" applyBorder="1" applyAlignment="1">
      <alignment vertical="center" wrapText="1"/>
    </xf>
    <xf numFmtId="165" fontId="152" fillId="107" borderId="189" xfId="84" applyNumberFormat="1" applyFont="1" applyFill="1" applyBorder="1" applyAlignment="1">
      <alignment horizontal="right" vertical="center" wrapText="1"/>
    </xf>
    <xf numFmtId="164" fontId="164" fillId="107" borderId="190" xfId="84" applyNumberFormat="1" applyFont="1" applyFill="1" applyBorder="1" applyAlignment="1">
      <alignment vertical="center" wrapText="1"/>
    </xf>
    <xf numFmtId="164" fontId="164" fillId="107" borderId="190" xfId="84" applyNumberFormat="1" applyFont="1" applyFill="1" applyBorder="1" applyAlignment="1">
      <alignment horizontal="right" vertical="center" wrapText="1"/>
    </xf>
    <xf numFmtId="164" fontId="152" fillId="107" borderId="190" xfId="84" applyNumberFormat="1" applyFont="1" applyFill="1" applyBorder="1" applyAlignment="1">
      <alignment vertical="center" wrapText="1"/>
    </xf>
    <xf numFmtId="164" fontId="152" fillId="107" borderId="190" xfId="84" applyNumberFormat="1" applyFont="1" applyFill="1" applyBorder="1" applyAlignment="1">
      <alignment horizontal="right" vertical="center" wrapText="1"/>
    </xf>
    <xf numFmtId="9" fontId="153" fillId="107" borderId="176" xfId="84" applyNumberFormat="1" applyFont="1" applyFill="1" applyBorder="1" applyAlignment="1">
      <alignment horizontal="right" vertical="center" wrapText="1"/>
    </xf>
    <xf numFmtId="9" fontId="153" fillId="106" borderId="176" xfId="84" applyNumberFormat="1" applyFont="1" applyFill="1" applyBorder="1" applyAlignment="1">
      <alignment horizontal="right" vertical="center" wrapText="1"/>
    </xf>
    <xf numFmtId="165" fontId="162" fillId="107" borderId="184" xfId="84" applyNumberFormat="1" applyFont="1" applyFill="1" applyBorder="1" applyAlignment="1">
      <alignment vertical="center" wrapText="1"/>
    </xf>
    <xf numFmtId="49" fontId="162" fillId="107" borderId="176" xfId="84" applyNumberFormat="1" applyFont="1" applyFill="1" applyBorder="1" applyAlignment="1">
      <alignment vertical="center" wrapText="1"/>
    </xf>
    <xf numFmtId="165" fontId="162" fillId="107" borderId="191" xfId="84" applyNumberFormat="1" applyFont="1" applyFill="1" applyBorder="1" applyAlignment="1">
      <alignment vertical="center" wrapText="1"/>
    </xf>
    <xf numFmtId="49" fontId="162" fillId="107" borderId="189" xfId="84" applyNumberFormat="1" applyFont="1" applyFill="1" applyBorder="1" applyAlignment="1">
      <alignment vertical="center" wrapText="1"/>
    </xf>
    <xf numFmtId="165" fontId="152" fillId="107" borderId="191" xfId="84" applyNumberFormat="1" applyFont="1" applyFill="1" applyBorder="1" applyAlignment="1">
      <alignment vertical="center" wrapText="1"/>
    </xf>
    <xf numFmtId="165" fontId="152" fillId="107" borderId="191" xfId="84" applyNumberFormat="1" applyFont="1" applyFill="1" applyBorder="1" applyAlignment="1">
      <alignment horizontal="right" vertical="center" wrapText="1"/>
    </xf>
    <xf numFmtId="165" fontId="156" fillId="107" borderId="176" xfId="84" applyNumberFormat="1" applyFont="1" applyFill="1" applyBorder="1" applyAlignment="1">
      <alignment vertical="center" wrapText="1"/>
    </xf>
    <xf numFmtId="165" fontId="156" fillId="107" borderId="176" xfId="84" applyNumberFormat="1" applyFont="1" applyFill="1" applyBorder="1" applyAlignment="1">
      <alignment horizontal="right" vertical="center" wrapText="1"/>
    </xf>
    <xf numFmtId="165" fontId="156" fillId="106" borderId="176" xfId="84" applyNumberFormat="1" applyFont="1" applyFill="1" applyBorder="1" applyAlignment="1">
      <alignment vertical="center" wrapText="1"/>
    </xf>
    <xf numFmtId="165" fontId="152" fillId="107" borderId="190" xfId="84" applyNumberFormat="1" applyFont="1" applyFill="1" applyBorder="1" applyAlignment="1">
      <alignment vertical="center" wrapText="1"/>
    </xf>
    <xf numFmtId="165" fontId="152" fillId="107" borderId="190" xfId="84" applyNumberFormat="1" applyFont="1" applyFill="1" applyBorder="1" applyAlignment="1">
      <alignment horizontal="right" vertical="center" wrapText="1"/>
    </xf>
    <xf numFmtId="165" fontId="162" fillId="107" borderId="180" xfId="84" applyNumberFormat="1" applyFont="1" applyFill="1" applyBorder="1" applyAlignment="1">
      <alignment vertical="center" wrapText="1"/>
    </xf>
    <xf numFmtId="165" fontId="162" fillId="107" borderId="188" xfId="84" applyNumberFormat="1" applyFont="1" applyFill="1" applyBorder="1" applyAlignment="1">
      <alignment vertical="center" wrapText="1"/>
    </xf>
    <xf numFmtId="165" fontId="152" fillId="107" borderId="188" xfId="84" applyNumberFormat="1" applyFont="1" applyFill="1" applyBorder="1" applyAlignment="1">
      <alignment vertical="center" wrapText="1"/>
    </xf>
    <xf numFmtId="165" fontId="152" fillId="107" borderId="188" xfId="84" applyNumberFormat="1" applyFont="1" applyFill="1" applyBorder="1" applyAlignment="1">
      <alignment horizontal="right" vertical="center" wrapText="1"/>
    </xf>
    <xf numFmtId="165" fontId="161" fillId="106" borderId="176" xfId="84" applyNumberFormat="1" applyFont="1" applyFill="1" applyBorder="1" applyAlignment="1">
      <alignment vertical="center" wrapText="1"/>
    </xf>
    <xf numFmtId="165" fontId="161" fillId="106" borderId="176" xfId="84" applyNumberFormat="1" applyFont="1" applyFill="1" applyBorder="1" applyAlignment="1">
      <alignment horizontal="right" vertical="center" wrapText="1"/>
    </xf>
    <xf numFmtId="0" fontId="152" fillId="107" borderId="189" xfId="84" applyNumberFormat="1" applyFont="1" applyFill="1" applyBorder="1" applyAlignment="1">
      <alignment horizontal="center" vertical="center" wrapText="1"/>
    </xf>
    <xf numFmtId="0" fontId="152" fillId="107" borderId="189" xfId="84" applyNumberFormat="1" applyFont="1" applyFill="1" applyBorder="1" applyAlignment="1">
      <alignment horizontal="right" vertical="center" wrapText="1"/>
    </xf>
    <xf numFmtId="0" fontId="161" fillId="107" borderId="176" xfId="84" applyNumberFormat="1" applyFont="1" applyFill="1" applyBorder="1" applyAlignment="1">
      <alignment vertical="center" wrapText="1"/>
    </xf>
    <xf numFmtId="0" fontId="154" fillId="107" borderId="176" xfId="84" applyNumberFormat="1" applyFont="1" applyFill="1" applyBorder="1" applyAlignment="1">
      <alignment horizontal="right" vertical="center" wrapText="1"/>
    </xf>
    <xf numFmtId="0" fontId="161" fillId="106" borderId="176" xfId="84" applyNumberFormat="1" applyFont="1" applyFill="1" applyBorder="1" applyAlignment="1">
      <alignment vertical="center" wrapText="1"/>
    </xf>
    <xf numFmtId="0" fontId="154" fillId="106" borderId="176" xfId="84" applyNumberFormat="1" applyFont="1" applyFill="1" applyBorder="1" applyAlignment="1">
      <alignment horizontal="right" vertical="center" wrapText="1"/>
    </xf>
    <xf numFmtId="165" fontId="152" fillId="107" borderId="176" xfId="84" applyNumberFormat="1" applyFont="1" applyFill="1" applyBorder="1" applyAlignment="1">
      <alignment horizontal="left" vertical="center" wrapText="1"/>
    </xf>
    <xf numFmtId="165" fontId="152" fillId="107" borderId="189" xfId="84" applyNumberFormat="1" applyFont="1" applyFill="1" applyBorder="1" applyAlignment="1">
      <alignment horizontal="left" vertical="center" wrapText="1"/>
    </xf>
    <xf numFmtId="0" fontId="159" fillId="107" borderId="180" xfId="84" applyNumberFormat="1" applyFont="1" applyFill="1" applyBorder="1" applyAlignment="1">
      <alignment horizontal="center" vertical="center" wrapText="1"/>
    </xf>
    <xf numFmtId="0" fontId="159" fillId="107" borderId="180" xfId="84" applyNumberFormat="1" applyFont="1" applyFill="1" applyBorder="1" applyAlignment="1">
      <alignment horizontal="right" vertical="center" wrapText="1"/>
    </xf>
    <xf numFmtId="165" fontId="152" fillId="107" borderId="180" xfId="84" applyNumberFormat="1" applyFont="1" applyFill="1" applyBorder="1" applyAlignment="1">
      <alignment horizontal="right" vertical="center" wrapText="1"/>
    </xf>
    <xf numFmtId="165" fontId="152" fillId="107" borderId="176" xfId="84" applyNumberFormat="1" applyFont="1" applyFill="1" applyBorder="1" applyAlignment="1">
      <alignment horizontal="right" vertical="center" wrapText="1"/>
    </xf>
    <xf numFmtId="165" fontId="153" fillId="97" borderId="161" xfId="84" applyNumberFormat="1" applyFont="1" applyFill="1" applyBorder="1"/>
    <xf numFmtId="165" fontId="153" fillId="97" borderId="161" xfId="84" applyNumberFormat="1" applyFont="1" applyFill="1" applyBorder="1" applyAlignment="1">
      <alignment wrapText="1"/>
    </xf>
    <xf numFmtId="165" fontId="153" fillId="97" borderId="161" xfId="84" applyNumberFormat="1" applyFont="1" applyFill="1" applyBorder="1" applyAlignment="1">
      <alignment vertical="center" wrapText="1"/>
    </xf>
    <xf numFmtId="0" fontId="155" fillId="109" borderId="177" xfId="72" applyNumberFormat="1" applyFont="1" applyFill="1" applyBorder="1" applyAlignment="1">
      <alignment horizontal="center" vertical="center" wrapText="1"/>
    </xf>
    <xf numFmtId="165" fontId="155" fillId="109" borderId="177" xfId="72" applyNumberFormat="1" applyFont="1" applyFill="1" applyBorder="1" applyAlignment="1">
      <alignment horizontal="center" vertical="center" wrapText="1"/>
    </xf>
    <xf numFmtId="0" fontId="162" fillId="109" borderId="177" xfId="72" applyNumberFormat="1" applyFont="1" applyFill="1" applyBorder="1" applyAlignment="1">
      <alignment horizontal="center" vertical="center" wrapText="1"/>
    </xf>
    <xf numFmtId="165" fontId="162" fillId="109" borderId="177" xfId="72" applyNumberFormat="1" applyFont="1" applyFill="1" applyBorder="1" applyAlignment="1">
      <alignment horizontal="center" vertical="center" wrapText="1"/>
    </xf>
    <xf numFmtId="165" fontId="124" fillId="109" borderId="144" xfId="72" applyNumberFormat="1" applyFont="1" applyFill="1" applyBorder="1"/>
    <xf numFmtId="165" fontId="163" fillId="109" borderId="144" xfId="72" applyNumberFormat="1" applyFont="1" applyFill="1" applyBorder="1"/>
    <xf numFmtId="165" fontId="163" fillId="109" borderId="144" xfId="72" applyNumberFormat="1" applyFont="1" applyFill="1" applyBorder="1" applyAlignment="1">
      <alignment vertical="center"/>
    </xf>
    <xf numFmtId="168" fontId="155" fillId="109" borderId="177" xfId="72" applyNumberFormat="1" applyFont="1" applyFill="1" applyBorder="1" applyAlignment="1">
      <alignment horizontal="center" vertical="center" wrapText="1"/>
    </xf>
    <xf numFmtId="168" fontId="162" fillId="109" borderId="177" xfId="72" applyNumberFormat="1" applyFont="1" applyFill="1" applyBorder="1" applyAlignment="1">
      <alignment horizontal="center" vertical="center" wrapText="1"/>
    </xf>
    <xf numFmtId="0" fontId="136" fillId="109" borderId="144" xfId="72" applyNumberFormat="1" applyFont="1" applyFill="1" applyBorder="1"/>
    <xf numFmtId="0" fontId="165" fillId="109" borderId="144" xfId="72" applyNumberFormat="1" applyFont="1" applyFill="1" applyBorder="1"/>
    <xf numFmtId="0" fontId="165" fillId="109" borderId="144" xfId="72" applyNumberFormat="1" applyFont="1" applyFill="1" applyBorder="1" applyAlignment="1">
      <alignment vertical="center"/>
    </xf>
    <xf numFmtId="0" fontId="155" fillId="109" borderId="186" xfId="72" applyNumberFormat="1" applyFont="1" applyFill="1" applyBorder="1" applyAlignment="1">
      <alignment horizontal="center" vertical="center" wrapText="1"/>
    </xf>
    <xf numFmtId="165" fontId="155" fillId="109" borderId="187" xfId="72" applyNumberFormat="1" applyFont="1" applyFill="1" applyBorder="1" applyAlignment="1">
      <alignment horizontal="center" vertical="center" wrapText="1"/>
    </xf>
    <xf numFmtId="0" fontId="155" fillId="109" borderId="187" xfId="72" applyNumberFormat="1" applyFont="1" applyFill="1" applyBorder="1" applyAlignment="1">
      <alignment horizontal="center" vertical="center" wrapText="1"/>
    </xf>
    <xf numFmtId="164" fontId="155" fillId="109" borderId="187" xfId="72" applyNumberFormat="1" applyFont="1" applyFill="1" applyBorder="1" applyAlignment="1">
      <alignment horizontal="center" vertical="center" wrapText="1"/>
    </xf>
    <xf numFmtId="10" fontId="155" fillId="109" borderId="177" xfId="72" applyNumberFormat="1" applyFont="1" applyFill="1" applyBorder="1" applyAlignment="1">
      <alignment horizontal="center" vertical="center" wrapText="1"/>
    </xf>
    <xf numFmtId="164" fontId="155" fillId="109" borderId="177" xfId="72" applyNumberFormat="1" applyFont="1" applyFill="1" applyBorder="1" applyAlignment="1">
      <alignment horizontal="center" vertical="center" wrapText="1"/>
    </xf>
    <xf numFmtId="164" fontId="155" fillId="109" borderId="179" xfId="72" applyNumberFormat="1" applyFont="1" applyFill="1" applyBorder="1" applyAlignment="1">
      <alignment horizontal="center" vertical="center" wrapText="1"/>
    </xf>
    <xf numFmtId="165" fontId="155" fillId="109" borderId="179" xfId="72" applyNumberFormat="1" applyFont="1" applyFill="1" applyBorder="1" applyAlignment="1">
      <alignment horizontal="center" vertical="center" wrapText="1"/>
    </xf>
    <xf numFmtId="0" fontId="162" fillId="109" borderId="186" xfId="72" applyNumberFormat="1" applyFont="1" applyFill="1" applyBorder="1" applyAlignment="1">
      <alignment horizontal="center" vertical="center" wrapText="1"/>
    </xf>
    <xf numFmtId="165" fontId="162" fillId="109" borderId="187" xfId="72" applyNumberFormat="1" applyFont="1" applyFill="1" applyBorder="1" applyAlignment="1">
      <alignment horizontal="center" vertical="center" wrapText="1"/>
    </xf>
    <xf numFmtId="0" fontId="162" fillId="109" borderId="187" xfId="72" applyNumberFormat="1" applyFont="1" applyFill="1" applyBorder="1" applyAlignment="1">
      <alignment horizontal="center" vertical="center" wrapText="1"/>
    </xf>
    <xf numFmtId="164" fontId="162" fillId="109" borderId="187" xfId="72" applyNumberFormat="1" applyFont="1" applyFill="1" applyBorder="1" applyAlignment="1">
      <alignment horizontal="center" vertical="center" wrapText="1"/>
    </xf>
    <xf numFmtId="10" fontId="162" fillId="109" borderId="177" xfId="72" applyNumberFormat="1" applyFont="1" applyFill="1" applyBorder="1" applyAlignment="1">
      <alignment horizontal="center" vertical="center" wrapText="1"/>
    </xf>
    <xf numFmtId="164" fontId="162" fillId="109" borderId="177" xfId="72" applyNumberFormat="1" applyFont="1" applyFill="1" applyBorder="1" applyAlignment="1">
      <alignment horizontal="center" vertical="center" wrapText="1"/>
    </xf>
    <xf numFmtId="164" fontId="162" fillId="109" borderId="179" xfId="72" applyNumberFormat="1" applyFont="1" applyFill="1" applyBorder="1" applyAlignment="1">
      <alignment horizontal="center" vertical="center" wrapText="1"/>
    </xf>
    <xf numFmtId="165" fontId="162" fillId="109" borderId="179" xfId="72" applyNumberFormat="1" applyFont="1" applyFill="1" applyBorder="1" applyAlignment="1">
      <alignment horizontal="center" vertical="center" wrapText="1"/>
    </xf>
    <xf numFmtId="0" fontId="152" fillId="109" borderId="176" xfId="72" applyNumberFormat="1" applyFont="1" applyFill="1" applyBorder="1" applyAlignment="1">
      <alignment horizontal="center" vertical="center" wrapText="1"/>
    </xf>
    <xf numFmtId="165" fontId="152" fillId="109" borderId="176" xfId="72" applyNumberFormat="1" applyFont="1" applyFill="1" applyBorder="1" applyAlignment="1">
      <alignment horizontal="center" vertical="center" wrapText="1"/>
    </xf>
    <xf numFmtId="167" fontId="152" fillId="109" borderId="176" xfId="72" applyNumberFormat="1" applyFont="1" applyFill="1" applyBorder="1" applyAlignment="1">
      <alignment horizontal="center" vertical="center" wrapText="1"/>
    </xf>
    <xf numFmtId="9" fontId="152" fillId="109" borderId="176" xfId="72" applyNumberFormat="1" applyFont="1" applyFill="1" applyBorder="1" applyAlignment="1">
      <alignment horizontal="center" vertical="center" wrapText="1"/>
    </xf>
    <xf numFmtId="0" fontId="162" fillId="109" borderId="176" xfId="72" applyNumberFormat="1" applyFont="1" applyFill="1" applyBorder="1" applyAlignment="1">
      <alignment horizontal="center" vertical="center" wrapText="1"/>
    </xf>
    <xf numFmtId="165" fontId="162" fillId="109" borderId="176" xfId="72" applyNumberFormat="1" applyFont="1" applyFill="1" applyBorder="1" applyAlignment="1">
      <alignment horizontal="center" vertical="center" wrapText="1"/>
    </xf>
    <xf numFmtId="167" fontId="162" fillId="109" borderId="176" xfId="72" applyNumberFormat="1" applyFont="1" applyFill="1" applyBorder="1" applyAlignment="1">
      <alignment horizontal="center" vertical="center" wrapText="1"/>
    </xf>
    <xf numFmtId="9" fontId="162" fillId="109" borderId="176" xfId="72" applyNumberFormat="1" applyFont="1" applyFill="1" applyBorder="1" applyAlignment="1">
      <alignment horizontal="center" vertical="center" wrapText="1"/>
    </xf>
    <xf numFmtId="165" fontId="162" fillId="109" borderId="187" xfId="72" applyNumberFormat="1" applyFont="1" applyFill="1" applyBorder="1" applyAlignment="1">
      <alignment horizontal="left" vertical="center" wrapText="1"/>
    </xf>
    <xf numFmtId="0" fontId="162" fillId="109" borderId="176" xfId="72" applyNumberFormat="1" applyFont="1" applyFill="1" applyBorder="1" applyAlignment="1">
      <alignment horizontal="right" vertical="center" wrapText="1"/>
    </xf>
    <xf numFmtId="167" fontId="162" fillId="109" borderId="176" xfId="72" applyNumberFormat="1" applyFont="1" applyFill="1" applyBorder="1" applyAlignment="1">
      <alignment horizontal="right" vertical="center" wrapText="1"/>
    </xf>
    <xf numFmtId="9" fontId="162" fillId="109" borderId="176" xfId="72" applyNumberFormat="1" applyFont="1" applyFill="1" applyBorder="1" applyAlignment="1">
      <alignment horizontal="right" vertical="center" wrapText="1"/>
    </xf>
    <xf numFmtId="165" fontId="152" fillId="107" borderId="189" xfId="72" applyNumberFormat="1" applyFont="1" applyFill="1" applyBorder="1" applyAlignment="1">
      <alignment horizontal="left" vertical="center" wrapText="1"/>
    </xf>
    <xf numFmtId="165" fontId="154" fillId="107" borderId="176" xfId="72" applyNumberFormat="1" applyFont="1" applyFill="1" applyBorder="1" applyAlignment="1">
      <alignment horizontal="left" vertical="center" wrapText="1"/>
    </xf>
    <xf numFmtId="165" fontId="154" fillId="106" borderId="176" xfId="72" applyNumberFormat="1" applyFont="1" applyFill="1" applyBorder="1" applyAlignment="1">
      <alignment horizontal="left" vertical="center" wrapText="1"/>
    </xf>
    <xf numFmtId="165" fontId="152" fillId="107" borderId="191" xfId="72" applyNumberFormat="1" applyFont="1" applyFill="1" applyBorder="1" applyAlignment="1">
      <alignment horizontal="left" vertical="center" wrapText="1"/>
    </xf>
    <xf numFmtId="165" fontId="154" fillId="107" borderId="184" xfId="72" applyNumberFormat="1" applyFont="1" applyFill="1" applyBorder="1" applyAlignment="1">
      <alignment horizontal="left" vertical="center" wrapText="1"/>
    </xf>
    <xf numFmtId="165" fontId="152" fillId="107" borderId="190" xfId="72" applyNumberFormat="1" applyFont="1" applyFill="1" applyBorder="1" applyAlignment="1">
      <alignment horizontal="left" vertical="center" wrapText="1"/>
    </xf>
    <xf numFmtId="165" fontId="154" fillId="106" borderId="184" xfId="72" applyNumberFormat="1" applyFont="1" applyFill="1" applyBorder="1" applyAlignment="1">
      <alignment horizontal="left" vertical="center" wrapText="1"/>
    </xf>
    <xf numFmtId="165" fontId="152" fillId="107" borderId="188" xfId="72" applyNumberFormat="1" applyFont="1" applyFill="1" applyBorder="1" applyAlignment="1">
      <alignment horizontal="left" vertical="center" wrapText="1"/>
    </xf>
    <xf numFmtId="165" fontId="154" fillId="106" borderId="180" xfId="72" applyNumberFormat="1" applyFont="1" applyFill="1" applyBorder="1" applyAlignment="1">
      <alignment horizontal="left" vertical="center" wrapText="1"/>
    </xf>
    <xf numFmtId="165" fontId="154" fillId="107" borderId="180" xfId="72" applyNumberFormat="1" applyFont="1" applyFill="1" applyBorder="1" applyAlignment="1">
      <alignment horizontal="left" vertical="center" wrapText="1"/>
    </xf>
    <xf numFmtId="49" fontId="154" fillId="107" borderId="176" xfId="72" applyNumberFormat="1" applyFont="1" applyFill="1" applyBorder="1" applyAlignment="1">
      <alignment horizontal="left" vertical="center" wrapText="1"/>
    </xf>
    <xf numFmtId="49" fontId="154" fillId="106" borderId="176" xfId="72" applyNumberFormat="1" applyFont="1" applyFill="1" applyBorder="1" applyAlignment="1">
      <alignment horizontal="left" vertical="center" wrapText="1"/>
    </xf>
    <xf numFmtId="165" fontId="152" fillId="107" borderId="180" xfId="72" applyNumberFormat="1" applyFont="1" applyFill="1" applyBorder="1" applyAlignment="1">
      <alignment horizontal="left" vertical="center" wrapText="1"/>
    </xf>
    <xf numFmtId="165" fontId="162" fillId="107" borderId="188" xfId="72" applyNumberFormat="1" applyFont="1" applyFill="1" applyBorder="1" applyAlignment="1">
      <alignment horizontal="left" vertical="center" wrapText="1"/>
    </xf>
    <xf numFmtId="165" fontId="154" fillId="106" borderId="176" xfId="84" applyNumberFormat="1" applyFont="1" applyFill="1" applyBorder="1" applyAlignment="1">
      <alignment vertical="center" wrapText="1"/>
    </xf>
    <xf numFmtId="165" fontId="154" fillId="107" borderId="176" xfId="84" applyNumberFormat="1" applyFont="1" applyFill="1" applyBorder="1" applyAlignment="1">
      <alignment vertical="center" wrapText="1"/>
    </xf>
    <xf numFmtId="165" fontId="153" fillId="106" borderId="176" xfId="84" applyNumberFormat="1" applyFont="1" applyFill="1" applyBorder="1" applyAlignment="1">
      <alignment vertical="center" wrapText="1"/>
    </xf>
    <xf numFmtId="165" fontId="153" fillId="107" borderId="176" xfId="84" applyNumberFormat="1" applyFont="1" applyFill="1" applyBorder="1" applyAlignment="1">
      <alignment vertical="center" wrapText="1"/>
    </xf>
    <xf numFmtId="164" fontId="138" fillId="94" borderId="160" xfId="86" applyFont="1" applyAlignment="1"/>
    <xf numFmtId="164" fontId="153" fillId="106" borderId="178" xfId="84" applyNumberFormat="1" applyFont="1" applyFill="1" applyBorder="1" applyAlignment="1">
      <alignment vertical="center" wrapText="1"/>
    </xf>
    <xf numFmtId="165" fontId="138" fillId="94" borderId="161" xfId="84" applyBorder="1" applyAlignment="1"/>
    <xf numFmtId="165" fontId="152" fillId="106" borderId="176" xfId="84" applyNumberFormat="1" applyFont="1" applyFill="1" applyBorder="1" applyAlignment="1">
      <alignment horizontal="left" vertical="center" wrapText="1"/>
    </xf>
    <xf numFmtId="164" fontId="153" fillId="106" borderId="176" xfId="84" applyNumberFormat="1" applyFont="1" applyFill="1" applyBorder="1" applyAlignment="1">
      <alignment vertical="center" wrapText="1"/>
    </xf>
    <xf numFmtId="164" fontId="153" fillId="107" borderId="176" xfId="84" applyNumberFormat="1" applyFont="1" applyFill="1" applyBorder="1" applyAlignment="1">
      <alignment vertical="center" wrapText="1"/>
    </xf>
    <xf numFmtId="165" fontId="154" fillId="107" borderId="176" xfId="84" applyNumberFormat="1" applyFont="1" applyFill="1" applyBorder="1" applyAlignment="1">
      <alignment horizontal="left" vertical="center" wrapText="1"/>
    </xf>
    <xf numFmtId="165" fontId="152" fillId="106" borderId="176" xfId="84" applyNumberFormat="1" applyFont="1" applyFill="1" applyBorder="1" applyAlignment="1">
      <alignment vertical="center" wrapText="1"/>
    </xf>
    <xf numFmtId="168" fontId="152" fillId="106" borderId="176" xfId="84" applyNumberFormat="1" applyFont="1" applyFill="1" applyBorder="1" applyAlignment="1">
      <alignment vertical="center" wrapText="1"/>
    </xf>
    <xf numFmtId="164" fontId="152" fillId="106" borderId="176" xfId="84" applyNumberFormat="1" applyFont="1" applyFill="1" applyBorder="1" applyAlignment="1">
      <alignment vertical="center" wrapText="1"/>
    </xf>
    <xf numFmtId="10" fontId="153" fillId="107" borderId="176" xfId="84" applyNumberFormat="1" applyFont="1" applyFill="1" applyBorder="1" applyAlignment="1">
      <alignment vertical="center" wrapText="1"/>
    </xf>
    <xf numFmtId="165" fontId="141" fillId="94" borderId="160" xfId="84" applyFont="1" applyAlignment="1"/>
    <xf numFmtId="10" fontId="138" fillId="94" borderId="160" xfId="87" applyNumberFormat="1" applyFont="1" applyAlignment="1"/>
    <xf numFmtId="165" fontId="154" fillId="106" borderId="176" xfId="84" applyNumberFormat="1" applyFont="1" applyFill="1" applyBorder="1" applyAlignment="1">
      <alignment horizontal="left" vertical="center" wrapText="1"/>
    </xf>
    <xf numFmtId="165" fontId="152" fillId="107" borderId="176" xfId="84" applyNumberFormat="1" applyFont="1" applyFill="1" applyBorder="1" applyAlignment="1">
      <alignment vertical="center" wrapText="1"/>
    </xf>
    <xf numFmtId="168" fontId="152" fillId="107" borderId="176" xfId="84" applyNumberFormat="1" applyFont="1" applyFill="1" applyBorder="1" applyAlignment="1">
      <alignment vertical="center" wrapText="1"/>
    </xf>
    <xf numFmtId="164" fontId="152" fillId="107" borderId="176" xfId="84" applyNumberFormat="1" applyFont="1" applyFill="1" applyBorder="1" applyAlignment="1">
      <alignment vertical="center" wrapText="1"/>
    </xf>
    <xf numFmtId="168" fontId="153" fillId="107" borderId="176" xfId="84" applyNumberFormat="1" applyFont="1" applyFill="1" applyBorder="1" applyAlignment="1">
      <alignment vertical="center" wrapText="1"/>
    </xf>
    <xf numFmtId="168" fontId="153" fillId="106" borderId="176" xfId="84" applyNumberFormat="1" applyFont="1" applyFill="1" applyBorder="1" applyAlignment="1">
      <alignment vertical="center" wrapText="1"/>
    </xf>
    <xf numFmtId="164" fontId="138" fillId="94" borderId="161" xfId="84" applyNumberFormat="1" applyBorder="1" applyAlignment="1"/>
    <xf numFmtId="168" fontId="138" fillId="94" borderId="161" xfId="84" applyNumberFormat="1" applyBorder="1" applyAlignment="1"/>
    <xf numFmtId="165" fontId="138" fillId="94" borderId="161" xfId="84" applyBorder="1" applyAlignment="1">
      <alignment wrapText="1"/>
    </xf>
    <xf numFmtId="165" fontId="138" fillId="94" borderId="160" xfId="84" applyAlignment="1">
      <alignment wrapText="1"/>
    </xf>
    <xf numFmtId="0" fontId="154" fillId="106" borderId="176" xfId="84" applyNumberFormat="1" applyFont="1" applyFill="1" applyBorder="1" applyAlignment="1">
      <alignment horizontal="left" vertical="center" wrapText="1"/>
    </xf>
    <xf numFmtId="165" fontId="162" fillId="109" borderId="187" xfId="72" applyNumberFormat="1" applyFont="1" applyFill="1" applyBorder="1" applyAlignment="1">
      <alignment horizontal="left" vertical="center" wrapText="1"/>
    </xf>
    <xf numFmtId="164" fontId="152" fillId="106" borderId="184" xfId="84" applyNumberFormat="1" applyFont="1" applyFill="1" applyBorder="1" applyAlignment="1">
      <alignment vertical="center" wrapText="1"/>
    </xf>
    <xf numFmtId="165" fontId="154" fillId="106" borderId="180" xfId="84" applyNumberFormat="1" applyFont="1" applyFill="1" applyBorder="1" applyAlignment="1">
      <alignment horizontal="left" vertical="center" wrapText="1"/>
    </xf>
    <xf numFmtId="164" fontId="154" fillId="106" borderId="176" xfId="84" applyNumberFormat="1" applyFont="1" applyFill="1" applyBorder="1" applyAlignment="1">
      <alignment vertical="center" wrapText="1"/>
    </xf>
    <xf numFmtId="165" fontId="153" fillId="107" borderId="178" xfId="84" applyNumberFormat="1" applyFont="1" applyFill="1" applyBorder="1" applyAlignment="1">
      <alignment vertical="center" wrapText="1"/>
    </xf>
    <xf numFmtId="164" fontId="152" fillId="107" borderId="184" xfId="84" applyNumberFormat="1" applyFont="1" applyFill="1" applyBorder="1" applyAlignment="1">
      <alignment vertical="center" wrapText="1"/>
    </xf>
    <xf numFmtId="165" fontId="154" fillId="107" borderId="180" xfId="84" applyNumberFormat="1" applyFont="1" applyFill="1" applyBorder="1" applyAlignment="1">
      <alignment horizontal="left" vertical="center" wrapText="1"/>
    </xf>
    <xf numFmtId="164" fontId="154" fillId="107" borderId="176" xfId="84" applyNumberFormat="1" applyFont="1" applyFill="1" applyBorder="1" applyAlignment="1">
      <alignment vertical="center" wrapText="1"/>
    </xf>
    <xf numFmtId="2" fontId="154" fillId="106" borderId="176" xfId="84" applyNumberFormat="1" applyFont="1" applyFill="1" applyBorder="1" applyAlignment="1">
      <alignment vertical="center" wrapText="1"/>
    </xf>
    <xf numFmtId="165" fontId="153" fillId="106" borderId="178" xfId="84" applyNumberFormat="1" applyFont="1" applyFill="1" applyBorder="1" applyAlignment="1">
      <alignment vertical="center" wrapText="1"/>
    </xf>
    <xf numFmtId="165" fontId="152" fillId="107" borderId="189" xfId="72" applyNumberFormat="1" applyFont="1" applyFill="1" applyBorder="1" applyAlignment="1">
      <alignment horizontal="left" vertical="center" wrapText="1"/>
    </xf>
    <xf numFmtId="165" fontId="162" fillId="107" borderId="189" xfId="84" applyNumberFormat="1" applyFont="1" applyFill="1" applyBorder="1" applyAlignment="1">
      <alignment horizontal="left" vertical="center" wrapText="1"/>
    </xf>
    <xf numFmtId="165" fontId="163" fillId="107" borderId="189" xfId="84" applyNumberFormat="1" applyFont="1" applyFill="1" applyBorder="1" applyAlignment="1">
      <alignment vertical="center" wrapText="1"/>
    </xf>
    <xf numFmtId="165" fontId="154" fillId="107" borderId="176" xfId="72" applyNumberFormat="1" applyFont="1" applyFill="1" applyBorder="1" applyAlignment="1">
      <alignment horizontal="left" vertical="center" wrapText="1"/>
    </xf>
    <xf numFmtId="49" fontId="154" fillId="107" borderId="176" xfId="84" applyNumberFormat="1" applyFont="1" applyFill="1" applyBorder="1" applyAlignment="1">
      <alignment vertical="center" wrapText="1"/>
    </xf>
    <xf numFmtId="165" fontId="154" fillId="106" borderId="176" xfId="72" applyNumberFormat="1" applyFont="1" applyFill="1" applyBorder="1" applyAlignment="1">
      <alignment horizontal="left" vertical="center" wrapText="1"/>
    </xf>
    <xf numFmtId="49" fontId="154" fillId="106" borderId="176" xfId="84" applyNumberFormat="1" applyFont="1" applyFill="1" applyBorder="1" applyAlignment="1">
      <alignment vertical="center" wrapText="1"/>
    </xf>
    <xf numFmtId="165" fontId="152" fillId="107" borderId="191" xfId="72" applyNumberFormat="1" applyFont="1" applyFill="1" applyBorder="1" applyAlignment="1">
      <alignment horizontal="left" vertical="center" wrapText="1"/>
    </xf>
    <xf numFmtId="49" fontId="162" fillId="107" borderId="189" xfId="84" applyNumberFormat="1" applyFont="1" applyFill="1" applyBorder="1" applyAlignment="1">
      <alignment vertical="center" wrapText="1"/>
    </xf>
    <xf numFmtId="165" fontId="154" fillId="107" borderId="184" xfId="72" applyNumberFormat="1" applyFont="1" applyFill="1" applyBorder="1" applyAlignment="1">
      <alignment horizontal="left" vertical="center" wrapText="1"/>
    </xf>
    <xf numFmtId="165" fontId="162" fillId="107" borderId="189" xfId="84" applyNumberFormat="1" applyFont="1" applyFill="1" applyBorder="1" applyAlignment="1">
      <alignment vertical="center" wrapText="1"/>
    </xf>
    <xf numFmtId="165" fontId="152" fillId="107" borderId="190" xfId="72" applyNumberFormat="1" applyFont="1" applyFill="1" applyBorder="1" applyAlignment="1">
      <alignment horizontal="left" vertical="center" wrapText="1"/>
    </xf>
    <xf numFmtId="165" fontId="154" fillId="106" borderId="178" xfId="84" applyNumberFormat="1" applyFont="1" applyFill="1" applyBorder="1" applyAlignment="1">
      <alignment vertical="center" wrapText="1"/>
    </xf>
    <xf numFmtId="165" fontId="154" fillId="107" borderId="178" xfId="84" applyNumberFormat="1" applyFont="1" applyFill="1" applyBorder="1" applyAlignment="1">
      <alignment vertical="center" wrapText="1"/>
    </xf>
    <xf numFmtId="164" fontId="163" fillId="107" borderId="190" xfId="84" applyNumberFormat="1" applyFont="1" applyFill="1" applyBorder="1" applyAlignment="1">
      <alignment vertical="center" wrapText="1"/>
    </xf>
    <xf numFmtId="49" fontId="153" fillId="107" borderId="178" xfId="84" applyNumberFormat="1" applyFont="1" applyFill="1" applyBorder="1" applyAlignment="1">
      <alignment vertical="center" wrapText="1"/>
    </xf>
    <xf numFmtId="165" fontId="154" fillId="106" borderId="184" xfId="72" applyNumberFormat="1" applyFont="1" applyFill="1" applyBorder="1" applyAlignment="1">
      <alignment horizontal="left" vertical="center" wrapText="1"/>
    </xf>
    <xf numFmtId="165" fontId="152" fillId="107" borderId="188" xfId="72" applyNumberFormat="1" applyFont="1" applyFill="1" applyBorder="1" applyAlignment="1">
      <alignment horizontal="left" vertical="center" wrapText="1"/>
    </xf>
    <xf numFmtId="165" fontId="154" fillId="106" borderId="180" xfId="72" applyNumberFormat="1" applyFont="1" applyFill="1" applyBorder="1" applyAlignment="1">
      <alignment horizontal="left" vertical="center" wrapText="1"/>
    </xf>
    <xf numFmtId="165" fontId="154" fillId="107" borderId="180" xfId="72" applyNumberFormat="1" applyFont="1" applyFill="1" applyBorder="1" applyAlignment="1">
      <alignment horizontal="left" vertical="center" wrapText="1"/>
    </xf>
    <xf numFmtId="164" fontId="153" fillId="107" borderId="178" xfId="84" applyNumberFormat="1" applyFont="1" applyFill="1" applyBorder="1" applyAlignment="1">
      <alignment vertical="center" wrapText="1"/>
    </xf>
    <xf numFmtId="49" fontId="154" fillId="107" borderId="176" xfId="72" applyNumberFormat="1" applyFont="1" applyFill="1" applyBorder="1" applyAlignment="1">
      <alignment horizontal="left" vertical="center" wrapText="1"/>
    </xf>
    <xf numFmtId="49" fontId="154" fillId="106" borderId="176" xfId="72" applyNumberFormat="1" applyFont="1" applyFill="1" applyBorder="1" applyAlignment="1">
      <alignment horizontal="left" vertical="center" wrapText="1"/>
    </xf>
    <xf numFmtId="164" fontId="162" fillId="107" borderId="190" xfId="84" applyNumberFormat="1" applyFont="1" applyFill="1" applyBorder="1" applyAlignment="1">
      <alignment vertical="center" wrapText="1"/>
    </xf>
    <xf numFmtId="165" fontId="162" fillId="107" borderId="190" xfId="84" applyNumberFormat="1" applyFont="1" applyFill="1" applyBorder="1" applyAlignment="1">
      <alignment vertical="center" wrapText="1"/>
    </xf>
    <xf numFmtId="165" fontId="152" fillId="107" borderId="180" xfId="72" applyNumberFormat="1" applyFont="1" applyFill="1" applyBorder="1" applyAlignment="1">
      <alignment horizontal="left" vertical="center" wrapText="1"/>
    </xf>
    <xf numFmtId="165" fontId="162" fillId="107" borderId="188" xfId="72" applyNumberFormat="1" applyFont="1" applyFill="1" applyBorder="1" applyAlignment="1">
      <alignment horizontal="left" vertical="center" wrapText="1"/>
    </xf>
    <xf numFmtId="165" fontId="154" fillId="106" borderId="181" xfId="84" applyNumberFormat="1" applyFont="1" applyFill="1" applyBorder="1" applyAlignment="1">
      <alignment vertical="center" wrapText="1"/>
    </xf>
    <xf numFmtId="165" fontId="154" fillId="107" borderId="181" xfId="84" applyNumberFormat="1" applyFont="1" applyFill="1" applyBorder="1" applyAlignment="1">
      <alignment vertical="center" wrapText="1"/>
    </xf>
    <xf numFmtId="0" fontId="115" fillId="80" borderId="128" xfId="96" applyNumberFormat="1" applyFont="1" applyFill="1" applyBorder="1" applyAlignment="1">
      <alignment horizontal="right" vertical="center" wrapText="1"/>
    </xf>
    <xf numFmtId="165" fontId="112" fillId="80" borderId="128" xfId="96" applyNumberFormat="1" applyFont="1" applyFill="1" applyBorder="1" applyAlignment="1">
      <alignment vertical="center" wrapText="1"/>
    </xf>
    <xf numFmtId="0" fontId="121" fillId="110" borderId="128" xfId="48" applyNumberFormat="1" applyFont="1" applyFill="1" applyBorder="1" applyAlignment="1">
      <alignment horizontal="center" vertical="center" wrapText="1"/>
    </xf>
    <xf numFmtId="165" fontId="121" fillId="110" borderId="128" xfId="48" applyNumberFormat="1" applyFont="1" applyFill="1" applyBorder="1" applyAlignment="1">
      <alignment horizontal="center" vertical="center" wrapText="1"/>
    </xf>
    <xf numFmtId="0" fontId="121" fillId="110" borderId="128" xfId="48" applyNumberFormat="1" applyFont="1" applyFill="1" applyBorder="1" applyAlignment="1">
      <alignment horizontal="right" vertical="center" wrapText="1"/>
    </xf>
    <xf numFmtId="167" fontId="121" fillId="110" borderId="128" xfId="48" applyNumberFormat="1" applyFont="1" applyFill="1" applyBorder="1" applyAlignment="1">
      <alignment horizontal="right" vertical="center" wrapText="1"/>
    </xf>
    <xf numFmtId="9" fontId="121" fillId="110" borderId="128" xfId="48" applyNumberFormat="1" applyFont="1" applyFill="1" applyBorder="1" applyAlignment="1">
      <alignment horizontal="right" vertical="center" wrapText="1"/>
    </xf>
    <xf numFmtId="167" fontId="111" fillId="110" borderId="128" xfId="48" applyNumberFormat="1" applyFont="1" applyFill="1" applyBorder="1" applyAlignment="1">
      <alignment horizontal="center" vertical="center" wrapText="1"/>
    </xf>
    <xf numFmtId="167" fontId="121" fillId="110" borderId="128" xfId="48" applyNumberFormat="1" applyFont="1" applyFill="1" applyBorder="1" applyAlignment="1">
      <alignment horizontal="center" vertical="center" wrapText="1"/>
    </xf>
    <xf numFmtId="165" fontId="112" fillId="110" borderId="128" xfId="48" applyNumberFormat="1" applyFont="1" applyFill="1" applyBorder="1" applyAlignment="1">
      <alignment vertical="center" wrapText="1"/>
    </xf>
    <xf numFmtId="165" fontId="122" fillId="110" borderId="128" xfId="48" applyNumberFormat="1" applyFont="1" applyFill="1" applyBorder="1" applyAlignment="1">
      <alignment vertical="center" wrapText="1"/>
    </xf>
    <xf numFmtId="170" fontId="115" fillId="79" borderId="128" xfId="48" applyNumberFormat="1" applyFont="1" applyFill="1" applyBorder="1" applyAlignment="1">
      <alignment horizontal="right" vertical="center" wrapText="1"/>
    </xf>
    <xf numFmtId="170" fontId="115" fillId="80" borderId="128" xfId="48" applyNumberFormat="1" applyFont="1" applyFill="1" applyBorder="1" applyAlignment="1">
      <alignment horizontal="right" vertical="center" wrapText="1"/>
    </xf>
    <xf numFmtId="171" fontId="115" fillId="79" borderId="128" xfId="48" applyNumberFormat="1" applyFont="1" applyFill="1" applyBorder="1" applyAlignment="1">
      <alignment horizontal="right" vertical="center" wrapText="1"/>
    </xf>
    <xf numFmtId="171" fontId="112" fillId="80" borderId="128" xfId="48" applyNumberFormat="1" applyFont="1" applyFill="1" applyBorder="1" applyAlignment="1">
      <alignment horizontal="right" vertical="center" wrapText="1"/>
    </xf>
    <xf numFmtId="172" fontId="112" fillId="79" borderId="128" xfId="48" applyNumberFormat="1" applyFont="1" applyFill="1" applyBorder="1" applyAlignment="1">
      <alignment horizontal="right" vertical="center" wrapText="1"/>
    </xf>
    <xf numFmtId="171" fontId="112" fillId="79" borderId="130" xfId="48" applyNumberFormat="1" applyFont="1" applyFill="1" applyBorder="1" applyAlignment="1">
      <alignment horizontal="right" vertical="center" wrapText="1"/>
    </xf>
    <xf numFmtId="173" fontId="115" fillId="80" borderId="128" xfId="48" applyNumberFormat="1" applyFont="1" applyFill="1" applyBorder="1" applyAlignment="1">
      <alignment horizontal="right" vertical="center" wrapText="1"/>
    </xf>
    <xf numFmtId="173" fontId="115" fillId="79" borderId="128" xfId="48" applyNumberFormat="1" applyFont="1" applyFill="1" applyBorder="1" applyAlignment="1">
      <alignment horizontal="right" vertical="center" wrapText="1"/>
    </xf>
    <xf numFmtId="171" fontId="112" fillId="79" borderId="128" xfId="48" applyNumberFormat="1" applyFont="1" applyFill="1" applyBorder="1" applyAlignment="1">
      <alignment horizontal="right" vertical="center" wrapText="1"/>
    </xf>
    <xf numFmtId="170" fontId="118" fillId="79" borderId="128" xfId="48" applyNumberFormat="1" applyFont="1" applyFill="1" applyBorder="1" applyAlignment="1">
      <alignment horizontal="right" vertical="center" wrapText="1"/>
    </xf>
    <xf numFmtId="174" fontId="111" fillId="79" borderId="128" xfId="48" applyNumberFormat="1" applyFont="1" applyFill="1" applyBorder="1" applyAlignment="1">
      <alignment horizontal="right" vertical="center" wrapText="1"/>
    </xf>
    <xf numFmtId="172" fontId="111" fillId="79" borderId="128" xfId="48" applyNumberFormat="1" applyFont="1" applyFill="1" applyBorder="1" applyAlignment="1">
      <alignment horizontal="right" vertical="center" wrapText="1"/>
    </xf>
    <xf numFmtId="174" fontId="117" fillId="80" borderId="128" xfId="48" applyNumberFormat="1" applyFont="1" applyFill="1" applyBorder="1" applyAlignment="1">
      <alignment horizontal="right" vertical="center" wrapText="1"/>
    </xf>
    <xf numFmtId="172" fontId="117" fillId="80" borderId="128" xfId="48" applyNumberFormat="1" applyFont="1" applyFill="1" applyBorder="1" applyAlignment="1">
      <alignment horizontal="right" vertical="center" wrapText="1"/>
    </xf>
    <xf numFmtId="172" fontId="112" fillId="80" borderId="130" xfId="48" applyNumberFormat="1" applyFont="1" applyFill="1" applyBorder="1" applyAlignment="1">
      <alignment horizontal="right" vertical="center" wrapText="1"/>
    </xf>
    <xf numFmtId="171" fontId="119" fillId="79" borderId="128" xfId="48" applyNumberFormat="1" applyFont="1" applyFill="1" applyBorder="1" applyAlignment="1">
      <alignment horizontal="right" vertical="center" wrapText="1"/>
    </xf>
    <xf numFmtId="175" fontId="112" fillId="79" borderId="128" xfId="48" applyNumberFormat="1" applyFont="1" applyFill="1" applyBorder="1" applyAlignment="1">
      <alignment horizontal="right" vertical="center" wrapText="1"/>
    </xf>
    <xf numFmtId="174" fontId="119" fillId="79" borderId="128" xfId="48" applyNumberFormat="1" applyFont="1" applyFill="1" applyBorder="1" applyAlignment="1">
      <alignment horizontal="right" vertical="center" wrapText="1"/>
    </xf>
    <xf numFmtId="172" fontId="113" fillId="79" borderId="128" xfId="48" applyNumberFormat="1" applyFont="1" applyFill="1" applyBorder="1" applyAlignment="1">
      <alignment horizontal="right" vertical="center" wrapText="1"/>
    </xf>
    <xf numFmtId="171" fontId="119" fillId="80" borderId="128" xfId="48" applyNumberFormat="1" applyFont="1" applyFill="1" applyBorder="1" applyAlignment="1">
      <alignment horizontal="right" vertical="center" wrapText="1"/>
    </xf>
    <xf numFmtId="175" fontId="112" fillId="80" borderId="128" xfId="48" applyNumberFormat="1" applyFont="1" applyFill="1" applyBorder="1" applyAlignment="1">
      <alignment horizontal="right" vertical="center" wrapText="1"/>
    </xf>
    <xf numFmtId="174" fontId="119" fillId="80" borderId="128" xfId="48" applyNumberFormat="1" applyFont="1" applyFill="1" applyBorder="1" applyAlignment="1">
      <alignment horizontal="right" vertical="center" wrapText="1"/>
    </xf>
    <xf numFmtId="172" fontId="113" fillId="80" borderId="128" xfId="48" applyNumberFormat="1" applyFont="1" applyFill="1" applyBorder="1" applyAlignment="1">
      <alignment horizontal="right" vertical="center" wrapText="1"/>
    </xf>
    <xf numFmtId="176" fontId="119" fillId="80" borderId="128" xfId="48" applyNumberFormat="1" applyFont="1" applyFill="1" applyBorder="1" applyAlignment="1">
      <alignment horizontal="right" vertical="center" wrapText="1"/>
    </xf>
    <xf numFmtId="174" fontId="113" fillId="80" borderId="128" xfId="48" applyNumberFormat="1" applyFont="1" applyFill="1" applyBorder="1" applyAlignment="1">
      <alignment horizontal="right" vertical="center" wrapText="1"/>
    </xf>
    <xf numFmtId="171" fontId="113" fillId="79" borderId="128" xfId="48" applyNumberFormat="1" applyFont="1" applyFill="1" applyBorder="1" applyAlignment="1">
      <alignment horizontal="right" vertical="center" wrapText="1"/>
    </xf>
    <xf numFmtId="175" fontId="112" fillId="79" borderId="130" xfId="48" applyNumberFormat="1" applyFont="1" applyFill="1" applyBorder="1" applyAlignment="1">
      <alignment horizontal="right" vertical="center" wrapText="1"/>
    </xf>
    <xf numFmtId="171" fontId="113" fillId="80" borderId="128" xfId="48" applyNumberFormat="1" applyFont="1" applyFill="1" applyBorder="1" applyAlignment="1">
      <alignment horizontal="right" vertical="center" wrapText="1"/>
    </xf>
    <xf numFmtId="172" fontId="112" fillId="80" borderId="128" xfId="48" applyNumberFormat="1" applyFont="1" applyFill="1" applyBorder="1" applyAlignment="1">
      <alignment horizontal="right" vertical="center" wrapText="1"/>
    </xf>
    <xf numFmtId="174" fontId="113" fillId="79" borderId="128" xfId="48" applyNumberFormat="1" applyFont="1" applyFill="1" applyBorder="1" applyAlignment="1">
      <alignment horizontal="right" vertical="center" wrapText="1"/>
    </xf>
    <xf numFmtId="170" fontId="118" fillId="80" borderId="128" xfId="48" applyNumberFormat="1" applyFont="1" applyFill="1" applyBorder="1" applyAlignment="1">
      <alignment horizontal="right" vertical="center" wrapText="1"/>
    </xf>
    <xf numFmtId="171" fontId="117" fillId="79" borderId="128" xfId="48" applyNumberFormat="1" applyFont="1" applyFill="1" applyBorder="1" applyAlignment="1">
      <alignment horizontal="right" vertical="center" wrapText="1"/>
    </xf>
    <xf numFmtId="175" fontId="111" fillId="79" borderId="128" xfId="48" applyNumberFormat="1" applyFont="1" applyFill="1" applyBorder="1" applyAlignment="1">
      <alignment horizontal="right" vertical="center" wrapText="1"/>
    </xf>
    <xf numFmtId="174" fontId="112" fillId="79" borderId="128" xfId="48" applyNumberFormat="1" applyFont="1" applyFill="1" applyBorder="1" applyAlignment="1">
      <alignment horizontal="right" vertical="center" wrapText="1"/>
    </xf>
    <xf numFmtId="171" fontId="86" fillId="55" borderId="97" xfId="48" applyNumberFormat="1" applyFont="1" applyFill="1" applyBorder="1" applyAlignment="1">
      <alignment horizontal="right"/>
    </xf>
    <xf numFmtId="170" fontId="120" fillId="79" borderId="128" xfId="48" applyNumberFormat="1" applyFont="1" applyFill="1" applyBorder="1" applyAlignment="1">
      <alignment horizontal="right" vertical="center" wrapText="1"/>
    </xf>
    <xf numFmtId="172" fontId="119" fillId="79" borderId="128" xfId="48" applyNumberFormat="1" applyFont="1" applyFill="1" applyBorder="1" applyAlignment="1">
      <alignment horizontal="right" vertical="center" wrapText="1"/>
    </xf>
    <xf numFmtId="172" fontId="113" fillId="79" borderId="130" xfId="48" applyNumberFormat="1" applyFont="1" applyFill="1" applyBorder="1" applyAlignment="1">
      <alignment horizontal="right" vertical="center" wrapText="1"/>
    </xf>
    <xf numFmtId="170" fontId="113" fillId="80" borderId="130" xfId="48" applyNumberFormat="1" applyFont="1" applyFill="1" applyBorder="1" applyAlignment="1">
      <alignment horizontal="right" vertical="center" wrapText="1"/>
    </xf>
    <xf numFmtId="175" fontId="113" fillId="79" borderId="133" xfId="48" applyNumberFormat="1" applyFont="1" applyFill="1" applyBorder="1" applyAlignment="1">
      <alignment horizontal="right" vertical="center" wrapText="1"/>
    </xf>
    <xf numFmtId="173" fontId="113" fillId="79" borderId="132" xfId="48" applyNumberFormat="1" applyFont="1" applyFill="1" applyBorder="1" applyAlignment="1">
      <alignment horizontal="right" vertical="center" wrapText="1"/>
    </xf>
    <xf numFmtId="173" fontId="113" fillId="79" borderId="128" xfId="48" applyNumberFormat="1" applyFont="1" applyFill="1" applyBorder="1" applyAlignment="1">
      <alignment horizontal="right" vertical="center" wrapText="1"/>
    </xf>
    <xf numFmtId="170" fontId="120" fillId="80" borderId="128" xfId="48" applyNumberFormat="1" applyFont="1" applyFill="1" applyBorder="1" applyAlignment="1">
      <alignment horizontal="right" vertical="center" wrapText="1"/>
    </xf>
    <xf numFmtId="173" fontId="113" fillId="80" borderId="132" xfId="48" applyNumberFormat="1" applyFont="1" applyFill="1" applyBorder="1" applyAlignment="1">
      <alignment horizontal="right" vertical="center" wrapText="1"/>
    </xf>
    <xf numFmtId="173" fontId="113" fillId="80" borderId="128" xfId="48" applyNumberFormat="1" applyFont="1" applyFill="1" applyBorder="1" applyAlignment="1">
      <alignment horizontal="right" vertical="center" wrapText="1"/>
    </xf>
    <xf numFmtId="175" fontId="113" fillId="80" borderId="133" xfId="48" applyNumberFormat="1" applyFont="1" applyFill="1" applyBorder="1" applyAlignment="1">
      <alignment horizontal="right" vertical="center" wrapText="1"/>
    </xf>
    <xf numFmtId="176" fontId="121" fillId="110" borderId="128" xfId="48" applyNumberFormat="1" applyFont="1" applyFill="1" applyBorder="1" applyAlignment="1">
      <alignment horizontal="right" vertical="center" wrapText="1"/>
    </xf>
    <xf numFmtId="170" fontId="118" fillId="80" borderId="140" xfId="48" applyNumberFormat="1" applyFont="1" applyFill="1" applyBorder="1" applyAlignment="1">
      <alignment horizontal="right" vertical="center" wrapText="1"/>
    </xf>
    <xf numFmtId="171" fontId="111" fillId="80" borderId="141" xfId="48" applyNumberFormat="1" applyFont="1" applyFill="1" applyBorder="1" applyAlignment="1">
      <alignment horizontal="right" vertical="center" wrapText="1"/>
    </xf>
    <xf numFmtId="172" fontId="123" fillId="80" borderId="142" xfId="48" applyNumberFormat="1" applyFont="1" applyFill="1" applyBorder="1" applyAlignment="1">
      <alignment horizontal="right" vertical="center" wrapText="1"/>
    </xf>
    <xf numFmtId="172" fontId="111" fillId="80" borderId="142" xfId="48" applyNumberFormat="1" applyFont="1" applyFill="1" applyBorder="1" applyAlignment="1">
      <alignment horizontal="right" vertical="center" wrapText="1"/>
    </xf>
    <xf numFmtId="173" fontId="112" fillId="80" borderId="128" xfId="48" applyNumberFormat="1" applyFont="1" applyFill="1" applyBorder="1" applyAlignment="1">
      <alignment horizontal="right" vertical="center" wrapText="1"/>
    </xf>
    <xf numFmtId="173" fontId="112" fillId="79" borderId="128" xfId="48" applyNumberFormat="1" applyFont="1" applyFill="1" applyBorder="1" applyAlignment="1">
      <alignment horizontal="right" vertical="center" wrapText="1"/>
    </xf>
    <xf numFmtId="171" fontId="115" fillId="80" borderId="128" xfId="48" applyNumberFormat="1" applyFont="1" applyFill="1" applyBorder="1" applyAlignment="1">
      <alignment horizontal="right" vertical="center" wrapText="1"/>
    </xf>
    <xf numFmtId="171" fontId="120" fillId="79" borderId="128" xfId="48" applyNumberFormat="1" applyFont="1" applyFill="1" applyBorder="1" applyAlignment="1">
      <alignment horizontal="right" vertical="center" wrapText="1"/>
    </xf>
    <xf numFmtId="170" fontId="111" fillId="80" borderId="141" xfId="48" applyNumberFormat="1" applyFont="1" applyFill="1" applyBorder="1" applyAlignment="1">
      <alignment horizontal="right" vertical="center" wrapText="1"/>
    </xf>
    <xf numFmtId="170" fontId="113" fillId="80" borderId="128" xfId="48" applyNumberFormat="1" applyFont="1" applyFill="1" applyBorder="1" applyAlignment="1">
      <alignment horizontal="right" vertical="center" wrapText="1"/>
    </xf>
    <xf numFmtId="170" fontId="113" fillId="79" borderId="128" xfId="48" applyNumberFormat="1" applyFont="1" applyFill="1" applyBorder="1" applyAlignment="1">
      <alignment horizontal="right" vertical="center" wrapText="1"/>
    </xf>
    <xf numFmtId="170" fontId="118" fillId="80" borderId="132" xfId="48" applyNumberFormat="1" applyFont="1" applyFill="1" applyBorder="1" applyAlignment="1">
      <alignment horizontal="right" vertical="center" wrapText="1"/>
    </xf>
    <xf numFmtId="171" fontId="111" fillId="80" borderId="128" xfId="48" applyNumberFormat="1" applyFont="1" applyFill="1" applyBorder="1" applyAlignment="1">
      <alignment horizontal="right" vertical="center" wrapText="1"/>
    </xf>
    <xf numFmtId="165" fontId="154" fillId="106" borderId="176" xfId="84" applyNumberFormat="1" applyFont="1" applyFill="1" applyBorder="1" applyAlignment="1">
      <alignment vertical="center" wrapText="1" indent="1" horizontal="left"/>
    </xf>
    <xf numFmtId="165" fontId="154" fillId="107" borderId="176" xfId="84" applyNumberFormat="1" applyFont="1" applyFill="1" applyBorder="1" applyAlignment="1">
      <alignment vertical="center" wrapText="1" indent="1" horizontal="left"/>
    </xf>
    <xf numFmtId="165" fontId="153" fillId="106" borderId="176" xfId="84" applyNumberFormat="1" applyFont="1" applyFill="1" applyBorder="1" applyAlignment="1">
      <alignment vertical="center" wrapText="1" indent="1" horizontal="left"/>
    </xf>
    <xf numFmtId="165" fontId="153" fillId="107" borderId="176" xfId="84" applyNumberFormat="1" applyFont="1" applyFill="1" applyBorder="1" applyAlignment="1">
      <alignment vertical="center" wrapText="1" indent="1" horizontal="left"/>
    </xf>
    <xf numFmtId="164" fontId="138" fillId="94" borderId="160" xfId="86" applyFont="1" applyAlignment="1">
      <alignment indent="1" horizontal="left"/>
    </xf>
    <xf numFmtId="164" fontId="153" fillId="106" borderId="178" xfId="84" applyNumberFormat="1" applyFont="1" applyFill="1" applyBorder="1" applyAlignment="1">
      <alignment vertical="center" wrapText="1" indent="1" horizontal="left"/>
    </xf>
    <xf numFmtId="165" fontId="138" fillId="94" borderId="161" xfId="84" applyBorder="1" applyAlignment="1">
      <alignment indent="1" horizontal="left"/>
    </xf>
    <xf numFmtId="165" fontId="152" fillId="106" borderId="176" xfId="84" applyNumberFormat="1" applyFont="1" applyFill="1" applyBorder="1" applyAlignment="1">
      <alignment horizontal="left" vertical="center" wrapText="1" indent="1"/>
    </xf>
    <xf numFmtId="164" fontId="153" fillId="106" borderId="176" xfId="84" applyNumberFormat="1" applyFont="1" applyFill="1" applyBorder="1" applyAlignment="1">
      <alignment vertical="center" wrapText="1" indent="1" horizontal="left"/>
    </xf>
    <xf numFmtId="164" fontId="153" fillId="107" borderId="176" xfId="84" applyNumberFormat="1" applyFont="1" applyFill="1" applyBorder="1" applyAlignment="1">
      <alignment vertical="center" wrapText="1" indent="1" horizontal="left"/>
    </xf>
    <xf numFmtId="165" fontId="154" fillId="107" borderId="176" xfId="84" applyNumberFormat="1" applyFont="1" applyFill="1" applyBorder="1" applyAlignment="1">
      <alignment horizontal="left" vertical="center" wrapText="1" indent="1"/>
    </xf>
    <xf numFmtId="165" fontId="152" fillId="106" borderId="176" xfId="84" applyNumberFormat="1" applyFont="1" applyFill="1" applyBorder="1" applyAlignment="1">
      <alignment vertical="center" wrapText="1" indent="1" horizontal="left"/>
    </xf>
    <xf numFmtId="168" fontId="152" fillId="106" borderId="176" xfId="84" applyNumberFormat="1" applyFont="1" applyFill="1" applyBorder="1" applyAlignment="1">
      <alignment vertical="center" wrapText="1" indent="1" horizontal="left"/>
    </xf>
    <xf numFmtId="164" fontId="152" fillId="106" borderId="176" xfId="84" applyNumberFormat="1" applyFont="1" applyFill="1" applyBorder="1" applyAlignment="1">
      <alignment vertical="center" wrapText="1" indent="1" horizontal="left"/>
    </xf>
    <xf numFmtId="10" fontId="153" fillId="107" borderId="176" xfId="84" applyNumberFormat="1" applyFont="1" applyFill="1" applyBorder="1" applyAlignment="1">
      <alignment vertical="center" wrapText="1" indent="1" horizontal="left"/>
    </xf>
    <xf numFmtId="165" fontId="141" fillId="94" borderId="160" xfId="84" applyFont="1" applyAlignment="1">
      <alignment indent="1" horizontal="left"/>
    </xf>
    <xf numFmtId="10" fontId="138" fillId="94" borderId="160" xfId="87" applyNumberFormat="1" applyFont="1" applyAlignment="1">
      <alignment indent="1" horizontal="left"/>
    </xf>
    <xf numFmtId="165" fontId="154" fillId="106" borderId="176" xfId="84" applyNumberFormat="1" applyFont="1" applyFill="1" applyBorder="1" applyAlignment="1">
      <alignment horizontal="left" vertical="center" wrapText="1" indent="1"/>
    </xf>
    <xf numFmtId="165" fontId="152" fillId="107" borderId="176" xfId="84" applyNumberFormat="1" applyFont="1" applyFill="1" applyBorder="1" applyAlignment="1">
      <alignment vertical="center" wrapText="1" indent="1" horizontal="left"/>
    </xf>
    <xf numFmtId="168" fontId="152" fillId="107" borderId="176" xfId="84" applyNumberFormat="1" applyFont="1" applyFill="1" applyBorder="1" applyAlignment="1">
      <alignment vertical="center" wrapText="1" indent="1" horizontal="left"/>
    </xf>
    <xf numFmtId="164" fontId="152" fillId="107" borderId="176" xfId="84" applyNumberFormat="1" applyFont="1" applyFill="1" applyBorder="1" applyAlignment="1">
      <alignment vertical="center" wrapText="1" indent="1" horizontal="left"/>
    </xf>
    <xf numFmtId="168" fontId="153" fillId="107" borderId="176" xfId="84" applyNumberFormat="1" applyFont="1" applyFill="1" applyBorder="1" applyAlignment="1">
      <alignment vertical="center" wrapText="1" indent="1" horizontal="left"/>
    </xf>
    <xf numFmtId="168" fontId="153" fillId="106" borderId="176" xfId="84" applyNumberFormat="1" applyFont="1" applyFill="1" applyBorder="1" applyAlignment="1">
      <alignment vertical="center" wrapText="1" indent="1" horizontal="left"/>
    </xf>
    <xf numFmtId="164" fontId="138" fillId="94" borderId="161" xfId="84" applyNumberFormat="1" applyBorder="1" applyAlignment="1">
      <alignment indent="1" horizontal="left"/>
    </xf>
    <xf numFmtId="168" fontId="138" fillId="94" borderId="161" xfId="84" applyNumberFormat="1" applyBorder="1" applyAlignment="1">
      <alignment indent="1" horizontal="left"/>
    </xf>
    <xf numFmtId="165" fontId="138" fillId="94" borderId="161" xfId="84" applyBorder="1" applyAlignment="1">
      <alignment wrapText="1" indent="1" horizontal="left"/>
    </xf>
    <xf numFmtId="165" fontId="138" fillId="94" borderId="160" xfId="84" applyAlignment="1">
      <alignment wrapText="1" indent="1" horizontal="left"/>
    </xf>
    <xf numFmtId="0" fontId="154" fillId="106" borderId="176" xfId="84" applyNumberFormat="1" applyFont="1" applyFill="1" applyBorder="1" applyAlignment="1">
      <alignment horizontal="left" vertical="center" wrapText="1" indent="1"/>
    </xf>
    <xf numFmtId="165" fontId="162" fillId="109" borderId="187" xfId="72" applyNumberFormat="1" applyFont="1" applyFill="1" applyBorder="1" applyAlignment="1">
      <alignment horizontal="left" vertical="center" wrapText="1" indent="1"/>
    </xf>
    <xf numFmtId="164" fontId="152" fillId="106" borderId="184" xfId="84" applyNumberFormat="1" applyFont="1" applyFill="1" applyBorder="1" applyAlignment="1">
      <alignment vertical="center" wrapText="1" indent="1" horizontal="left"/>
    </xf>
    <xf numFmtId="165" fontId="154" fillId="106" borderId="180" xfId="84" applyNumberFormat="1" applyFont="1" applyFill="1" applyBorder="1" applyAlignment="1">
      <alignment horizontal="left" vertical="center" wrapText="1" indent="1"/>
    </xf>
    <xf numFmtId="164" fontId="154" fillId="106" borderId="176" xfId="84" applyNumberFormat="1" applyFont="1" applyFill="1" applyBorder="1" applyAlignment="1">
      <alignment vertical="center" wrapText="1" indent="1" horizontal="left"/>
    </xf>
    <xf numFmtId="165" fontId="153" fillId="107" borderId="178" xfId="84" applyNumberFormat="1" applyFont="1" applyFill="1" applyBorder="1" applyAlignment="1">
      <alignment vertical="center" wrapText="1" indent="1" horizontal="left"/>
    </xf>
    <xf numFmtId="164" fontId="152" fillId="107" borderId="184" xfId="84" applyNumberFormat="1" applyFont="1" applyFill="1" applyBorder="1" applyAlignment="1">
      <alignment vertical="center" wrapText="1" indent="1" horizontal="left"/>
    </xf>
    <xf numFmtId="165" fontId="154" fillId="107" borderId="180" xfId="84" applyNumberFormat="1" applyFont="1" applyFill="1" applyBorder="1" applyAlignment="1">
      <alignment horizontal="left" vertical="center" wrapText="1" indent="1"/>
    </xf>
    <xf numFmtId="164" fontId="154" fillId="107" borderId="176" xfId="84" applyNumberFormat="1" applyFont="1" applyFill="1" applyBorder="1" applyAlignment="1">
      <alignment vertical="center" wrapText="1" indent="1" horizontal="left"/>
    </xf>
    <xf numFmtId="2" fontId="154" fillId="106" borderId="176" xfId="84" applyNumberFormat="1" applyFont="1" applyFill="1" applyBorder="1" applyAlignment="1">
      <alignment vertical="center" wrapText="1" indent="1" horizontal="left"/>
    </xf>
    <xf numFmtId="165" fontId="153" fillId="106" borderId="178" xfId="84" applyNumberFormat="1" applyFont="1" applyFill="1" applyBorder="1" applyAlignment="1">
      <alignment vertical="center" wrapText="1" indent="1" horizontal="left"/>
    </xf>
    <xf numFmtId="165" fontId="152" fillId="107" borderId="189" xfId="72" applyNumberFormat="1" applyFont="1" applyFill="1" applyBorder="1" applyAlignment="1">
      <alignment horizontal="left" vertical="center" wrapText="1" indent="1"/>
    </xf>
    <xf numFmtId="165" fontId="162" fillId="107" borderId="189" xfId="84" applyNumberFormat="1" applyFont="1" applyFill="1" applyBorder="1" applyAlignment="1">
      <alignment horizontal="left" vertical="center" wrapText="1" indent="1"/>
    </xf>
    <xf numFmtId="165" fontId="163" fillId="107" borderId="189" xfId="84" applyNumberFormat="1" applyFont="1" applyFill="1" applyBorder="1" applyAlignment="1">
      <alignment vertical="center" wrapText="1" indent="1" horizontal="left"/>
    </xf>
    <xf numFmtId="165" fontId="154" fillId="107" borderId="176" xfId="72" applyNumberFormat="1" applyFont="1" applyFill="1" applyBorder="1" applyAlignment="1">
      <alignment horizontal="left" vertical="center" wrapText="1" indent="1"/>
    </xf>
    <xf numFmtId="49" fontId="154" fillId="107" borderId="176" xfId="84" applyNumberFormat="1" applyFont="1" applyFill="1" applyBorder="1" applyAlignment="1">
      <alignment vertical="center" wrapText="1" indent="1" horizontal="left"/>
    </xf>
    <xf numFmtId="165" fontId="154" fillId="106" borderId="176" xfId="72" applyNumberFormat="1" applyFont="1" applyFill="1" applyBorder="1" applyAlignment="1">
      <alignment horizontal="left" vertical="center" wrapText="1" indent="1"/>
    </xf>
    <xf numFmtId="49" fontId="154" fillId="106" borderId="176" xfId="84" applyNumberFormat="1" applyFont="1" applyFill="1" applyBorder="1" applyAlignment="1">
      <alignment vertical="center" wrapText="1" indent="1" horizontal="left"/>
    </xf>
    <xf numFmtId="165" fontId="152" fillId="107" borderId="191" xfId="72" applyNumberFormat="1" applyFont="1" applyFill="1" applyBorder="1" applyAlignment="1">
      <alignment horizontal="left" vertical="center" wrapText="1" indent="1"/>
    </xf>
    <xf numFmtId="49" fontId="162" fillId="107" borderId="189" xfId="84" applyNumberFormat="1" applyFont="1" applyFill="1" applyBorder="1" applyAlignment="1">
      <alignment vertical="center" wrapText="1" indent="1" horizontal="left"/>
    </xf>
    <xf numFmtId="165" fontId="154" fillId="107" borderId="184" xfId="72" applyNumberFormat="1" applyFont="1" applyFill="1" applyBorder="1" applyAlignment="1">
      <alignment horizontal="left" vertical="center" wrapText="1" indent="1"/>
    </xf>
    <xf numFmtId="165" fontId="162" fillId="107" borderId="189" xfId="84" applyNumberFormat="1" applyFont="1" applyFill="1" applyBorder="1" applyAlignment="1">
      <alignment vertical="center" wrapText="1" indent="1" horizontal="left"/>
    </xf>
    <xf numFmtId="165" fontId="152" fillId="107" borderId="190" xfId="72" applyNumberFormat="1" applyFont="1" applyFill="1" applyBorder="1" applyAlignment="1">
      <alignment horizontal="left" vertical="center" wrapText="1" indent="1"/>
    </xf>
    <xf numFmtId="165" fontId="154" fillId="106" borderId="178" xfId="84" applyNumberFormat="1" applyFont="1" applyFill="1" applyBorder="1" applyAlignment="1">
      <alignment vertical="center" wrapText="1" indent="1" horizontal="left"/>
    </xf>
    <xf numFmtId="165" fontId="154" fillId="107" borderId="178" xfId="84" applyNumberFormat="1" applyFont="1" applyFill="1" applyBorder="1" applyAlignment="1">
      <alignment vertical="center" wrapText="1" indent="1" horizontal="left"/>
    </xf>
    <xf numFmtId="164" fontId="163" fillId="107" borderId="190" xfId="84" applyNumberFormat="1" applyFont="1" applyFill="1" applyBorder="1" applyAlignment="1">
      <alignment vertical="center" wrapText="1" indent="1" horizontal="left"/>
    </xf>
    <xf numFmtId="49" fontId="153" fillId="107" borderId="178" xfId="84" applyNumberFormat="1" applyFont="1" applyFill="1" applyBorder="1" applyAlignment="1">
      <alignment vertical="center" wrapText="1" indent="1" horizontal="left"/>
    </xf>
    <xf numFmtId="165" fontId="154" fillId="106" borderId="184" xfId="72" applyNumberFormat="1" applyFont="1" applyFill="1" applyBorder="1" applyAlignment="1">
      <alignment horizontal="left" vertical="center" wrapText="1" indent="1"/>
    </xf>
    <xf numFmtId="165" fontId="152" fillId="107" borderId="188" xfId="72" applyNumberFormat="1" applyFont="1" applyFill="1" applyBorder="1" applyAlignment="1">
      <alignment horizontal="left" vertical="center" wrapText="1" indent="1"/>
    </xf>
    <xf numFmtId="165" fontId="154" fillId="106" borderId="180" xfId="72" applyNumberFormat="1" applyFont="1" applyFill="1" applyBorder="1" applyAlignment="1">
      <alignment horizontal="left" vertical="center" wrapText="1" indent="1"/>
    </xf>
    <xf numFmtId="165" fontId="154" fillId="107" borderId="180" xfId="72" applyNumberFormat="1" applyFont="1" applyFill="1" applyBorder="1" applyAlignment="1">
      <alignment horizontal="left" vertical="center" wrapText="1" indent="1"/>
    </xf>
    <xf numFmtId="164" fontId="153" fillId="107" borderId="178" xfId="84" applyNumberFormat="1" applyFont="1" applyFill="1" applyBorder="1" applyAlignment="1">
      <alignment vertical="center" wrapText="1" indent="1" horizontal="left"/>
    </xf>
    <xf numFmtId="49" fontId="154" fillId="107" borderId="176" xfId="72" applyNumberFormat="1" applyFont="1" applyFill="1" applyBorder="1" applyAlignment="1">
      <alignment horizontal="left" vertical="center" wrapText="1" indent="1"/>
    </xf>
    <xf numFmtId="49" fontId="154" fillId="106" borderId="176" xfId="72" applyNumberFormat="1" applyFont="1" applyFill="1" applyBorder="1" applyAlignment="1">
      <alignment horizontal="left" vertical="center" wrapText="1" indent="1"/>
    </xf>
    <xf numFmtId="164" fontId="162" fillId="107" borderId="190" xfId="84" applyNumberFormat="1" applyFont="1" applyFill="1" applyBorder="1" applyAlignment="1">
      <alignment vertical="center" wrapText="1" indent="1" horizontal="left"/>
    </xf>
    <xf numFmtId="165" fontId="162" fillId="107" borderId="190" xfId="84" applyNumberFormat="1" applyFont="1" applyFill="1" applyBorder="1" applyAlignment="1">
      <alignment vertical="center" wrapText="1" indent="1" horizontal="left"/>
    </xf>
    <xf numFmtId="165" fontId="152" fillId="107" borderId="180" xfId="72" applyNumberFormat="1" applyFont="1" applyFill="1" applyBorder="1" applyAlignment="1">
      <alignment horizontal="left" vertical="center" wrapText="1" indent="1"/>
    </xf>
    <xf numFmtId="165" fontId="162" fillId="107" borderId="188" xfId="72" applyNumberFormat="1" applyFont="1" applyFill="1" applyBorder="1" applyAlignment="1">
      <alignment horizontal="left" vertical="center" wrapText="1" indent="1"/>
    </xf>
    <xf numFmtId="165" fontId="154" fillId="106" borderId="181" xfId="84" applyNumberFormat="1" applyFont="1" applyFill="1" applyBorder="1" applyAlignment="1">
      <alignment vertical="center" wrapText="1" indent="1" horizontal="left"/>
    </xf>
    <xf numFmtId="165" fontId="154" fillId="107" borderId="181" xfId="84" applyNumberFormat="1" applyFont="1" applyFill="1" applyBorder="1" applyAlignment="1">
      <alignment vertical="center" wrapText="1" indent="1" horizontal="left"/>
    </xf>
    <xf numFmtId="165" fontId="122" fillId="110" borderId="128" xfId="48" applyNumberFormat="1" applyFont="1" applyFill="1" applyBorder="1" applyAlignment="1">
      <alignment vertical="center" wrapText="1" indent="1" horizontal="left"/>
    </xf>
    <xf numFmtId="165" fontId="154" fillId="106" borderId="176" xfId="84" applyNumberFormat="1" applyFont="1" applyFill="1" applyBorder="1" applyAlignment="1">
      <alignment vertical="center" wrapText="1" indent="1" horizontal="left"/>
    </xf>
    <xf numFmtId="165" fontId="154" fillId="107" borderId="176" xfId="84" applyNumberFormat="1" applyFont="1" applyFill="1" applyBorder="1" applyAlignment="1">
      <alignment vertical="center" wrapText="1" indent="1" horizontal="left"/>
    </xf>
    <xf numFmtId="165" fontId="153" fillId="106" borderId="176" xfId="84" applyNumberFormat="1" applyFont="1" applyFill="1" applyBorder="1" applyAlignment="1">
      <alignment vertical="center" wrapText="1" indent="1" horizontal="left"/>
    </xf>
    <xf numFmtId="165" fontId="153" fillId="107" borderId="176" xfId="84" applyNumberFormat="1" applyFont="1" applyFill="1" applyBorder="1" applyAlignment="1">
      <alignment vertical="center" wrapText="1" indent="1" horizontal="left"/>
    </xf>
    <xf numFmtId="165" fontId="112" fillId="80" borderId="128" xfId="96" applyNumberFormat="1" applyFont="1" applyFill="1" applyBorder="1" applyAlignment="1">
      <alignment vertical="center" wrapText="1" horizontal="left" indent="1"/>
    </xf>
    <xf numFmtId="165" fontId="153" fillId="106" borderId="176" xfId="84" applyNumberFormat="1" applyFont="1" applyFill="1" applyBorder="1" applyAlignment="1">
      <alignment vertical="center" wrapText="1" indent="1" horizontal="left"/>
    </xf>
    <xf numFmtId="165" fontId="154" fillId="106" borderId="176" xfId="84" applyNumberFormat="1" applyFont="1" applyFill="1" applyBorder="1" applyAlignment="1">
      <alignment vertical="center" wrapText="1" indent="1" horizontal="left"/>
    </xf>
    <xf numFmtId="165" fontId="154" fillId="106" borderId="176" xfId="84" applyNumberFormat="1" applyFont="1" applyFill="1" applyBorder="1" applyAlignment="1">
      <alignment horizontal="left" vertical="center" wrapText="1" indent="1"/>
    </xf>
    <xf numFmtId="165" fontId="153" fillId="107" borderId="176" xfId="84" applyNumberFormat="1" applyFont="1" applyFill="1" applyBorder="1" applyAlignment="1">
      <alignment vertical="center" wrapText="1" indent="1" horizontal="left"/>
    </xf>
    <xf numFmtId="165" fontId="154" fillId="107" borderId="176" xfId="84" applyNumberFormat="1" applyFont="1" applyFill="1" applyBorder="1" applyAlignment="1">
      <alignment vertical="center" wrapText="1" indent="1" horizontal="left"/>
    </xf>
    <xf numFmtId="165" fontId="154" fillId="107" borderId="176" xfId="84" applyNumberFormat="1" applyFont="1" applyFill="1" applyBorder="1" applyAlignment="1">
      <alignment horizontal="left" vertical="center" wrapText="1" indent="1"/>
    </xf>
    <xf numFmtId="165" fontId="152" fillId="106" borderId="176" xfId="84" applyNumberFormat="1" applyFont="1" applyFill="1" applyBorder="1" applyAlignment="1">
      <alignment horizontal="left" vertical="center" wrapText="1" indent="1"/>
    </xf>
    <xf numFmtId="165" fontId="158" fillId="107" borderId="176" xfId="84" applyNumberFormat="1" applyFont="1" applyFill="1" applyBorder="1" applyAlignment="1">
      <alignment horizontal="left" vertical="center" wrapText="1" indent="1"/>
    </xf>
    <xf numFmtId="165" fontId="152" fillId="106" borderId="176" xfId="84" applyNumberFormat="1" applyFont="1" applyFill="1" applyBorder="1" applyAlignment="1">
      <alignment vertical="center" wrapText="1" indent="1" horizontal="left"/>
    </xf>
    <xf numFmtId="165" fontId="152" fillId="107" borderId="176" xfId="84" applyNumberFormat="1" applyFont="1" applyFill="1" applyBorder="1" applyAlignment="1">
      <alignment vertical="center" wrapText="1" indent="1" horizontal="left"/>
    </xf>
    <xf numFmtId="165" fontId="154" fillId="106" borderId="176" xfId="84" applyNumberFormat="1" applyFont="1" applyFill="1" applyBorder="1" applyAlignment="1">
      <alignment horizontal="left" vertical="center" wrapText="1" indent="1"/>
    </xf>
    <xf numFmtId="165" fontId="154" fillId="107" borderId="176" xfId="84" applyNumberFormat="1" applyFont="1" applyFill="1" applyBorder="1" applyAlignment="1">
      <alignment horizontal="left" vertical="center" wrapText="1" indent="1"/>
    </xf>
    <xf numFmtId="165" fontId="153" fillId="106" borderId="176" xfId="84" applyNumberFormat="1" applyFont="1" applyFill="1" applyBorder="1" applyAlignment="1">
      <alignment horizontal="left" vertical="center" wrapText="1" indent="1"/>
    </xf>
    <xf numFmtId="0" fontId="154" fillId="106" borderId="176" xfId="84" applyNumberFormat="1" applyFont="1" applyFill="1" applyBorder="1" applyAlignment="1">
      <alignment horizontal="left" vertical="center" wrapText="1" indent="1"/>
    </xf>
    <xf numFmtId="165" fontId="152" fillId="106" borderId="176" xfId="84" applyNumberFormat="1" applyFont="1" applyFill="1" applyBorder="1" applyAlignment="1">
      <alignment horizontal="left" vertical="center" wrapText="1" indent="1"/>
    </xf>
    <xf numFmtId="165" fontId="154" fillId="107" borderId="176" xfId="84" applyNumberFormat="1" applyFont="1" applyFill="1" applyBorder="1" applyAlignment="1">
      <alignment horizontal="left" vertical="center" wrapText="1" indent="1"/>
    </xf>
    <xf numFmtId="165" fontId="154" fillId="107" borderId="176" xfId="84" applyNumberFormat="1" applyFont="1" applyFill="1" applyBorder="1" applyAlignment="1">
      <alignment horizontal="left" vertical="center" wrapText="1" indent="1"/>
    </xf>
    <xf numFmtId="165" fontId="154" fillId="106" borderId="176" xfId="84" applyNumberFormat="1" applyFont="1" applyFill="1" applyBorder="1" applyAlignment="1">
      <alignment horizontal="left" vertical="center" wrapText="1" indent="1"/>
    </xf>
    <xf numFmtId="165" fontId="154" fillId="106" borderId="176" xfId="84" applyNumberFormat="1" applyFont="1" applyFill="1" applyBorder="1" applyAlignment="1">
      <alignment horizontal="left" vertical="center" wrapText="1" indent="1"/>
    </xf>
    <xf numFmtId="165" fontId="152" fillId="107" borderId="181" xfId="84" applyNumberFormat="1" applyFont="1" applyFill="1" applyBorder="1" applyAlignment="1">
      <alignment horizontal="left" vertical="center" wrapText="1" indent="1"/>
    </xf>
    <xf numFmtId="165" fontId="154" fillId="106" borderId="176" xfId="84" applyNumberFormat="1" applyFont="1" applyFill="1" applyBorder="1" applyAlignment="1">
      <alignment vertical="center" wrapText="1" indent="1" horizontal="left"/>
    </xf>
    <xf numFmtId="165" fontId="153" fillId="107" borderId="178" xfId="84" applyNumberFormat="1" applyFont="1" applyFill="1" applyBorder="1" applyAlignment="1">
      <alignment vertical="center" wrapText="1" indent="1" horizontal="left"/>
    </xf>
    <xf numFmtId="165" fontId="154" fillId="107" borderId="176" xfId="84" applyNumberFormat="1" applyFont="1" applyFill="1" applyBorder="1" applyAlignment="1">
      <alignment vertical="center" wrapText="1" indent="1" horizontal="left"/>
    </xf>
    <xf numFmtId="165" fontId="153" fillId="106" borderId="178" xfId="84" applyNumberFormat="1" applyFont="1" applyFill="1" applyBorder="1" applyAlignment="1">
      <alignment vertical="center" wrapText="1" indent="1" horizontal="left"/>
    </xf>
    <xf numFmtId="165" fontId="154" fillId="107" borderId="176" xfId="72" applyNumberFormat="1" applyFont="1" applyFill="1" applyBorder="1" applyAlignment="1">
      <alignment horizontal="left" vertical="center" wrapText="1" indent="1"/>
    </xf>
    <xf numFmtId="165" fontId="154" fillId="107" borderId="176" xfId="84" applyNumberFormat="1" applyFont="1" applyFill="1" applyBorder="1" applyAlignment="1">
      <alignment horizontal="left" vertical="center" wrapText="1" indent="1"/>
    </xf>
    <xf numFmtId="165" fontId="154" fillId="106" borderId="176" xfId="72" applyNumberFormat="1" applyFont="1" applyFill="1" applyBorder="1" applyAlignment="1">
      <alignment horizontal="left" vertical="center" wrapText="1" indent="1"/>
    </xf>
    <xf numFmtId="165" fontId="154" fillId="106" borderId="176" xfId="84" applyNumberFormat="1" applyFont="1" applyFill="1" applyBorder="1" applyAlignment="1">
      <alignment horizontal="left" vertical="center" wrapText="1" indent="1"/>
    </xf>
    <xf numFmtId="165" fontId="154" fillId="106" borderId="180" xfId="72" applyNumberFormat="1" applyFont="1" applyFill="1" applyBorder="1" applyAlignment="1">
      <alignment horizontal="left" vertical="center" wrapText="1" indent="1"/>
    </xf>
    <xf numFmtId="165" fontId="154" fillId="107" borderId="180" xfId="72" applyNumberFormat="1" applyFont="1" applyFill="1" applyBorder="1" applyAlignment="1">
      <alignment horizontal="left" vertical="center" wrapText="1" indent="1"/>
    </xf>
    <xf numFmtId="49" fontId="154" fillId="107" borderId="176" xfId="72" applyNumberFormat="1" applyFont="1" applyFill="1" applyBorder="1" applyAlignment="1">
      <alignment horizontal="left" vertical="center" wrapText="1" indent="1"/>
    </xf>
    <xf numFmtId="0" fontId="162" fillId="107" borderId="188" xfId="84" applyNumberFormat="1" applyFont="1" applyFill="1" applyBorder="1" applyAlignment="1">
      <alignment horizontal="left" vertical="center" wrapText="1" indent="1"/>
    </xf>
    <xf numFmtId="165" fontId="162" fillId="107" borderId="188" xfId="72" applyNumberFormat="1" applyFont="1" applyFill="1" applyBorder="1" applyAlignment="1">
      <alignment horizontal="left" vertical="center" wrapText="1" indent="1"/>
    </xf>
    <xf numFmtId="165" fontId="122" fillId="110" borderId="128" xfId="48" applyNumberFormat="1" applyFont="1" applyFill="1" applyBorder="1" applyAlignment="1">
      <alignment vertical="center" wrapText="1" indent="1" horizontal="left"/>
    </xf>
    <xf numFmtId="165" fontId="153" fillId="106" borderId="176" xfId="84" applyNumberFormat="1" applyFont="1" applyFill="1" applyBorder="1" applyAlignment="1">
      <alignment vertical="center" wrapText="1" indent="1" horizontal="left"/>
    </xf>
    <xf numFmtId="165" fontId="153" fillId="107" borderId="176" xfId="84" applyNumberFormat="1" applyFont="1" applyFill="1" applyBorder="1" applyAlignment="1">
      <alignment vertical="center" wrapText="1" indent="1" horizontal="left"/>
    </xf>
  </cellXfs>
  <cellStyles count="12">
    <cellStyle name="A4 Small 210 x 297 mm" xfId="1" xr:uid="{00000000-0005-0000-0000-000000000000}"/>
    <cellStyle name="Euro" xfId="6" xr:uid="{00000000-0005-0000-0000-000001000000}"/>
    <cellStyle name="Moneda" xfId="2" builtinId="4"/>
    <cellStyle name="Moneda 2" xfId="11" xr:uid="{00000000-0005-0000-0000-000003000000}"/>
    <cellStyle name="Normal" xfId="0" builtinId="0"/>
    <cellStyle name="Normal 2" xfId="4" xr:uid="{00000000-0005-0000-0000-000005000000}"/>
    <cellStyle name="Normal 2 2" xfId="8" xr:uid="{00000000-0005-0000-0000-000006000000}"/>
    <cellStyle name="Normal 3" xfId="5" xr:uid="{00000000-0005-0000-0000-000007000000}"/>
    <cellStyle name="Normal 4" xfId="7" xr:uid="{00000000-0005-0000-0000-000008000000}"/>
    <cellStyle name="Normal 4 2" xfId="9" xr:uid="{00000000-0005-0000-0000-000009000000}"/>
    <cellStyle name="Porcentaje" xfId="3" builtinId="5"/>
    <cellStyle name="Porcentaje 2" xfId="10" xr:uid="{00000000-0005-0000-0000-00000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printerSettings" Target="../printerSettings/printerSettings1.bin"/><Relationship Id="rIdUMSABrand" Type="http://schemas.openxmlformats.org/officeDocument/2006/relationships/vmlDrawing" Target="../drawings/vmlDrawing1.vml"/></Relationships>
</file>

<file path=xl/worksheets/_rels/sheet2.xml.rels><?xml version='1.0' encoding='UTF-8'?>
<Relationships xmlns="http://schemas.openxmlformats.org/package/2006/relationships"><Relationship Id="rIdUMSABrand" Type="http://schemas.openxmlformats.org/officeDocument/2006/relationships/vmlDrawing" Target="../drawings/vmlDrawing1.vml"/></Relationships>
</file>

<file path=xl/worksheets/_rels/sheet3.xml.rels><?xml version='1.0' encoding='UTF-8'?>
<Relationships xmlns="http://schemas.openxmlformats.org/package/2006/relationships"><Relationship Id="rId1" Type="http://schemas.openxmlformats.org/officeDocument/2006/relationships/printerSettings" Target="../printerSettings/printerSettings2.bin"/><Relationship Id="rIdUMSABrand" Type="http://schemas.openxmlformats.org/officeDocument/2006/relationships/vmlDrawing" Target="../drawings/vmlDrawing1.vml"/></Relationships>
</file>

<file path=xl/worksheets/_rels/sheet4.xml.rels><?xml version='1.0' encoding='UTF-8'?>
<Relationships xmlns="http://schemas.openxmlformats.org/package/2006/relationships"><Relationship Id="rId1" Type="http://schemas.openxmlformats.org/officeDocument/2006/relationships/printerSettings" Target="../printerSettings/printerSettings3.bin"/><Relationship Id="rIdUMSABrand" Type="http://schemas.openxmlformats.org/officeDocument/2006/relationships/vmlDrawing" Target="../drawings/vmlDrawing1.vml"/></Relationships>
</file>

<file path=xl/worksheets/_rels/sheet5.xml.rels><?xml version='1.0' encoding='UTF-8'?>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UMSABrand" Type="http://schemas.openxmlformats.org/officeDocument/2006/relationships/vmlDrawing" Target="../drawings/vmlDrawing1.vml"/></Relationships>
</file>

<file path=xl/worksheets/_rels/sheet6.xml.rels><?xml version='1.0' encoding='UTF-8'?>
<Relationships xmlns="http://schemas.openxmlformats.org/package/2006/relationships"><Relationship Id="rId1" Type="http://schemas.openxmlformats.org/officeDocument/2006/relationships/printerSettings" Target="../printerSettings/printerSettings5.bin"/><Relationship Id="rIdUMSABrand" Type="http://schemas.openxmlformats.org/officeDocument/2006/relationships/vmlDrawing" Target="../drawings/vmlDrawing1.vml"/></Relationships>
</file>

<file path=xl/worksheets/_rels/sheet7.xml.rels><?xml version='1.0' encoding='UTF-8'?>
<Relationships xmlns="http://schemas.openxmlformats.org/package/2006/relationships"><Relationship Id="rId1" Type="http://schemas.openxmlformats.org/officeDocument/2006/relationships/printerSettings" Target="../printerSettings/printerSettings6.bin"/><Relationship Id="rIdUMSABrand" Type="http://schemas.openxmlformats.org/officeDocument/2006/relationships/vmlDrawing" Target="../drawings/vmlDrawing1.vml"/></Relationships>
</file>

<file path=xl/worksheets/_rels/sheet8.xml.rels><?xml version='1.0' encoding='UTF-8'?>
<Relationships xmlns="http://schemas.openxmlformats.org/package/2006/relationships"><Relationship Id="rIdUMSABrand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0"/>
  </sheetPr>
  <dimension ref="A1:C8"/>
  <sheetViews>
    <sheetView showGridLines="0" workbookViewId="0" tabSelected="0">
      <pane ySplit="1" topLeftCell="A2" activePane="bottomLeft" state="frozen"/>
    </sheetView>
  </sheetViews>
  <sheetFormatPr baseColWidth="10" defaultRowHeight="13.2"/>
  <cols>
    <col min="1" max="1" width="6.5" style="242" hidden="0" customWidth="1"/>
    <col min="2" max="2" width="30" hidden="0" customWidth="1"/>
    <col min="3" max="3" width="86.25" hidden="0" customWidth="1"/>
  </cols>
  <sheetData>
    <row r="1" spans="1:3" s="12" customFormat="1" ht="48" customHeight="1">
      <c r="A1" s="5243" t="s">
        <v>0</v>
      </c>
      <c r="B1" s="5244" t="inlineStr">
        <is>
          <t>Descripción</t>
        </is>
      </c>
      <c r="C1" s="5244" t="s">
        <v>1</v>
      </c>
    </row>
    <row r="2" spans="1:3" ht="50" customHeight="1">
      <c r="A2" s="5373">
        <v>1</v>
      </c>
      <c r="B2" s="5501" t="inlineStr">
        <is>
          <t>PARAMETRIZACIÓN</t>
        </is>
      </c>
      <c r="C2" s="5501" t="inlineStr">
        <is>
          <t>Completar tarifas, cotización USD / ARS, plazos, cuadrillas y márgenes antes de cotizar.</t>
        </is>
      </c>
    </row>
    <row r="3" spans="1:3" ht="50" customHeight="1">
      <c r="A3" s="5374">
        <v>2</v>
      </c>
      <c r="B3" s="5502" t="inlineStr">
        <is>
          <t>DIMENSIONAMIENTO</t>
        </is>
      </c>
      <c r="C3" s="5502" t="inlineStr">
        <is>
          <t>Hoja libre para el relevamiento y el alcance del proyecto.</t>
        </is>
      </c>
    </row>
    <row r="4" spans="1:3" ht="50" customHeight="1">
      <c r="A4" s="5373">
        <v>3</v>
      </c>
      <c r="B4" s="5503" t="inlineStr">
        <is>
          <t>CUADRO DE RESULTADO</t>
        </is>
      </c>
      <c r="C4" s="5503" t="inlineStr">
        <is>
          <t>Ventas, costos y contribución calculados desde el detalle de PD.</t>
        </is>
      </c>
    </row>
    <row r="5" spans="1:3" ht="50" customHeight="1">
      <c r="A5" s="5374">
        <v>4</v>
      </c>
      <c r="B5" s="5504" t="inlineStr">
        <is>
          <t>MATERIALES</t>
        </is>
      </c>
      <c r="C5" s="5504" t="inlineStr">
        <is>
          <t>Lista de materiales, marcas, unidades y cantidades del proyecto.</t>
        </is>
      </c>
    </row>
    <row r="6" spans="1:3" ht="50" customHeight="1">
      <c r="A6" s="5373">
        <v>5</v>
      </c>
      <c r="B6" s="5503" t="inlineStr">
        <is>
          <t>PD</t>
        </is>
      </c>
      <c r="C6" s="5503" t="inlineStr">
        <is>
          <t>Detalle del presupuesto: componentes, cantidades, costos unitarios, márgenes y venta. Completar las celdas de entrada; conservar las fórmulas.</t>
        </is>
      </c>
    </row>
    <row r="7" spans="1:3" ht="68" customHeight="1">
      <c r="A7" s="5374">
        <v>6</v>
      </c>
      <c r="B7" s="5504" t="inlineStr">
        <is>
          <t>OFERTA</t>
        </is>
      </c>
      <c r="C7" s="5504" t="inlineStr">
        <is>
          <t>Renglón de oferta económica vinculado al presupuesto. Completar código y cantidad.</t>
        </is>
      </c>
    </row>
    <row r="8" ht="58" customHeight="1">
      <c r="A8" s="5374">
        <v>7</v>
      </c>
      <c r="B8" s="5505" t="inlineStr">
        <is>
          <t>HOJA1</t>
        </is>
      </c>
      <c r="C8" s="5505" t="inlineStr">
        <is>
          <t>Catálogo de categorías y materiales de referencia.</t>
        </is>
      </c>
    </row>
  </sheetData>
  <printOptions horizontalCentered="0" gridLines="0" headings="0"/>
  <pageMargins left="0.25" right="0.25" top="0.65" bottom="0.5" header="0.2" footer="0.2"/>
  <pageSetup paperSize="8" orientation="landscape" scale="100" fitToWidth="0" fitToHeight="0"/>
  <headerFooter scaleWithDoc="0">
    <oddHeader>&amp;L&amp;"UM Sans 2,Regular"&amp;10 0-GUIA&amp;R&amp;G</oddHeader>
    <oddFooter>&amp;L&amp;"UM Sans 2,Regular"&amp;9ULTIMA MILLA S.A. · Uso interno&amp;R&amp;"UM Sans 2,Regular"&amp;9&amp;P / &amp;N</oddFooter>
  </headerFooter>
  <legacyDrawingHF r:id="rIdUMSABra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0"/>
  </sheetPr>
  <dimension ref="A1:G21"/>
  <sheetViews>
    <sheetView showGridLines="0" workbookViewId="0" tabSelected="0">
      <pane ySplit="1" topLeftCell="A2" activePane="bottomLeft" state="frozen"/>
    </sheetView>
  </sheetViews>
  <sheetFormatPr baseColWidth="10" defaultRowHeight="13.2"/>
  <cols>
    <col min="1" max="1" width="45.630001068115234" hidden="0" customWidth="1"/>
    <col min="2" max="2" width="53.130001068115234" hidden="0" customWidth="1"/>
    <col min="3" max="3" width="15.630000114440918" style="237" hidden="0" customWidth="1"/>
    <col min="4" max="4" width="20.6299991607666" style="237" hidden="0" customWidth="1"/>
    <col min="5" max="5" width="3.130000114440918" hidden="0" customWidth="1"/>
    <col min="6" max="7" width="13.5546875" customWidth="1"/>
    <col min="6" max="6" width="20.6299991607666" hidden="0" customWidth="1"/>
  </cols>
  <sheetData>
    <row r="1" spans="1:7" ht="48" customHeight="1">
      <c r="A1" s="5244" t="s">
        <v>2</v>
      </c>
      <c r="B1" s="5244" t="s">
        <v>3</v>
      </c>
      <c r="C1" s="5244" t="s">
        <v>4</v>
      </c>
      <c r="D1" s="5244" t="s">
        <v>5</v>
      </c>
      <c r="G1" s="5437"/>
    </row>
    <row r="2" spans="1:7" ht="32" customHeight="1">
      <c r="A2" s="5506" t="s">
        <v>6</v>
      </c>
      <c r="B2" s="5507" t="s">
        <v>7</v>
      </c>
      <c r="C2" s="5508" t="s">
        <v>8</v>
      </c>
      <c r="D2" s="5375"/>
      <c r="E2" s="5438"/>
    </row>
    <row r="3" spans="1:7" ht="32" customHeight="1">
      <c r="A3" s="5509" t="s">
        <v>9</v>
      </c>
      <c r="B3" s="5510" t="s">
        <v>10</v>
      </c>
      <c r="C3" s="5511" t="s">
        <v>11</v>
      </c>
      <c r="D3" s="5376" t="str">
        <f>IF(D2="","",+D2/8)</f>
        <v/>
      </c>
    </row>
    <row r="4" spans="1:7" ht="32" customHeight="1">
      <c r="A4" s="5507" t="s">
        <v>12</v>
      </c>
      <c r="B4" s="5507" t="s">
        <v>13</v>
      </c>
      <c r="C4" s="5508" t="s">
        <v>14</v>
      </c>
      <c r="D4" s="4500"/>
    </row>
    <row r="5" spans="1:7" ht="32" customHeight="1">
      <c r="A5" s="5509" t="s">
        <v>15</v>
      </c>
      <c r="B5" s="5510" t="s">
        <v>16</v>
      </c>
      <c r="C5" s="5511" t="s">
        <v>17</v>
      </c>
      <c r="D5" s="4507"/>
    </row>
    <row r="6" spans="1:7" ht="32" customHeight="1">
      <c r="A6" s="5507" t="s">
        <v>18</v>
      </c>
      <c r="B6" s="5507" t="s">
        <v>19</v>
      </c>
      <c r="C6" s="5508" t="s">
        <v>20</v>
      </c>
      <c r="D6" s="4500"/>
    </row>
    <row r="7" spans="1:7" ht="32" customHeight="1">
      <c r="A7" s="5509" t="s">
        <v>21</v>
      </c>
      <c r="B7" s="5510" t="s">
        <v>22</v>
      </c>
      <c r="C7" s="5511" t="s">
        <v>23</v>
      </c>
      <c r="D7" s="4507"/>
    </row>
    <row r="8" spans="1:7" ht="32" customHeight="1">
      <c r="A8" s="5506" t="s">
        <v>24</v>
      </c>
      <c r="B8" s="5507" t="s">
        <v>25</v>
      </c>
      <c r="C8" s="5508" t="s">
        <v>26</v>
      </c>
      <c r="D8" s="5377"/>
      <c r="F8" s="5378" t="str">
        <f>IF(OR(cotiza="",DH=""),"",+cotiza*DH)</f>
        <v/>
      </c>
    </row>
    <row r="9" spans="1:7" ht="32" customHeight="1">
      <c r="A9" s="5510" t="s">
        <v>27</v>
      </c>
      <c r="B9" s="5510" t="s">
        <v>28</v>
      </c>
      <c r="C9" s="5511" t="s">
        <v>29</v>
      </c>
      <c r="D9" s="5379"/>
    </row>
    <row r="10" spans="1:7" ht="32" customHeight="1">
      <c r="A10" s="5507" t="s">
        <v>30</v>
      </c>
      <c r="B10" s="5507" t="s">
        <v>31</v>
      </c>
      <c r="C10" s="5508" t="s">
        <v>32</v>
      </c>
      <c r="D10" s="5380"/>
    </row>
    <row r="11" spans="1:7" ht="32" customHeight="1">
      <c r="A11" s="5510" t="s">
        <v>33</v>
      </c>
      <c r="B11" s="5510" t="s">
        <v>34</v>
      </c>
      <c r="C11" s="5511" t="s">
        <v>35</v>
      </c>
      <c r="D11" s="4454"/>
    </row>
    <row r="12" spans="1:7" ht="32" customHeight="1">
      <c r="A12" s="5507" t="s">
        <v>36</v>
      </c>
      <c r="B12" s="5433"/>
      <c r="C12" s="5508" t="s">
        <v>37</v>
      </c>
      <c r="D12" s="4450"/>
    </row>
    <row r="13" spans="1:7" ht="32" customHeight="1">
      <c r="A13" s="5510" t="s">
        <v>38</v>
      </c>
      <c r="B13" s="5510" t="s">
        <v>39</v>
      </c>
      <c r="C13" s="5511" t="s">
        <v>40</v>
      </c>
      <c r="D13" s="5374"/>
    </row>
    <row r="14" spans="1:7" ht="32" customHeight="1">
      <c r="A14" s="5506" t="s">
        <v>41</v>
      </c>
      <c r="B14" s="5435"/>
      <c r="C14" s="5508" t="s">
        <v>42</v>
      </c>
      <c r="D14" s="5380"/>
    </row>
    <row r="15" spans="1:7" ht="32" customHeight="1">
      <c r="A15" s="5509" t="s">
        <v>43</v>
      </c>
      <c r="B15" s="5436"/>
      <c r="C15" s="5511" t="s">
        <v>44</v>
      </c>
      <c r="D15" s="5379"/>
    </row>
    <row r="16" spans="1:7" ht="32" customHeight="1">
      <c r="A16" s="5506" t="s">
        <v>45</v>
      </c>
      <c r="B16" s="5435"/>
      <c r="C16" s="5508" t="s">
        <v>46</v>
      </c>
      <c r="D16" s="5380"/>
    </row>
    <row r="17" spans="1:4" ht="32" customHeight="1">
      <c r="A17" s="5509" t="s">
        <v>47</v>
      </c>
      <c r="B17" s="5436"/>
      <c r="C17" s="5511" t="s">
        <v>48</v>
      </c>
      <c r="D17" s="5379"/>
    </row>
    <row r="18" spans="1:4" ht="32" customHeight="1">
      <c r="A18" s="5506" t="s">
        <v>49</v>
      </c>
      <c r="B18" s="5435"/>
      <c r="C18" s="5508" t="s">
        <v>49</v>
      </c>
      <c r="D18" s="5381"/>
    </row>
    <row r="19" spans="1:4">
      <c r="A19" s="5439"/>
      <c r="B19" s="5439"/>
      <c r="C19" s="4214"/>
      <c r="D19" s="4218"/>
    </row>
    <row r="20" spans="1:4">
      <c r="A20" s="5439"/>
      <c r="B20" s="5439"/>
      <c r="C20" s="4214"/>
      <c r="D20" s="4218"/>
    </row>
    <row r="21" spans="1:4">
      <c r="A21" s="5439"/>
      <c r="B21" s="5439"/>
      <c r="C21" s="4214"/>
      <c r="D21" s="4218"/>
    </row>
  </sheetData>
  <dataValidations count="4">
    <dataValidation type="decimal" operator="between" sqref="D14:D17" allowBlank="1" showErrorMessage="1">
      <formula1>0</formula1>
      <formula2>0.9999</formula2>
    </dataValidation>
    <dataValidation type="decimal" operator="greaterThanOrEqual" sqref="D2:D7" allowBlank="1" showErrorMessage="1">
      <formula1>0</formula1>
    </dataValidation>
    <dataValidation type="decimal" operator="greaterThanOrEqual" sqref="D8" allowBlank="1" showErrorMessage="1">
      <formula1>0</formula1>
    </dataValidation>
    <dataValidation type="decimal" operator="greaterThanOrEqual" sqref="D18" allowBlank="1" showErrorMessage="1">
      <formula1>0</formula1>
    </dataValidation>
  </dataValidations>
  <printOptions horizontalCentered="0" gridLines="0" headings="0"/>
  <pageMargins left="0.25" right="0.25" top="0.65" bottom="0.5" header="0.2" footer="0.2"/>
  <pageSetup paperSize="8" orientation="landscape" scale="100" fitToWidth="0" fitToHeight="0"/>
  <headerFooter scaleWithDoc="0">
    <oddHeader>&amp;L&amp;"UM Sans 2,Regular"&amp;10 1-PARAMETRIZACION&amp;R&amp;G</oddHeader>
    <oddFooter>&amp;L&amp;"UM Sans 2,Regular"&amp;9ULTIMA MILLA S.A. · Uso interno&amp;R&amp;"UM Sans 2,Regular"&amp;9&amp;P / &amp;N</oddFooter>
  </headerFooter>
  <legacyDrawingHF r:id="rIdUMSABra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0"/>
  </sheetPr>
  <dimension ref="A1:I49"/>
  <sheetViews>
    <sheetView showGridLines="0" workbookViewId="0" tabSelected="0">
      <pane xSplit="1" ySplit="1" topLeftCell="B2" activePane="bottomRight" state="frozen"/>
    </sheetView>
  </sheetViews>
  <sheetFormatPr baseColWidth="10" defaultRowHeight="13.2"/>
  <cols>
    <col min="1" max="1" width="6.5" hidden="0" customWidth="1"/>
    <col min="2" max="2" width="38.75" hidden="0" customWidth="1"/>
    <col min="3" max="3" width="13.130000114440918" hidden="0" customWidth="1"/>
    <col min="4" max="4" width="16.8799991607666" hidden="0" customWidth="1"/>
    <col min="5" max="5" width="18.75" style="404" hidden="0" customWidth="1"/>
    <col min="6" max="6" width="28.75" hidden="0" customWidth="1"/>
    <col min="7" max="7" width="19.3799991607666" hidden="0" customWidth="1"/>
    <col min="8" max="8" width="17.44140625" customWidth="1"/>
    <col min="9" max="9" width="16.33203125" customWidth="1"/>
  </cols>
  <sheetData>
    <row r="1" spans="1:7" ht="48" customHeight="1">
      <c r="A1" s="5243" t="s">
        <v>50</v>
      </c>
      <c r="B1" s="5244" t="s">
        <v>3</v>
      </c>
      <c r="C1" s="5244" t="s">
        <v>51</v>
      </c>
      <c r="D1" s="5244" t="s">
        <v>52</v>
      </c>
      <c r="E1" s="5249" t="s">
        <v>53</v>
      </c>
      <c r="F1" s="5244" t="s">
        <v>54</v>
      </c>
    </row>
    <row r="2" spans="1:7" ht="24" customHeight="1">
      <c r="A2" s="5382">
        <v>1</v>
      </c>
      <c r="B2" s="5512" t="s">
        <v>55</v>
      </c>
      <c r="C2" s="4500"/>
      <c r="D2" s="5441"/>
      <c r="E2" s="5383" t="n">
        <f>+E3</f>
        <v>0</v>
      </c>
      <c r="F2" s="5384"/>
    </row>
    <row r="3" spans="1:7" ht="24" customHeight="1">
      <c r="A3" s="4454"/>
      <c r="B3" s="5513" t="s">
        <v>56</v>
      </c>
      <c r="C3" s="4512"/>
      <c r="D3" s="5442"/>
      <c r="E3" s="5385" t="n">
        <f>SUM(E4:E18)</f>
        <v>0</v>
      </c>
      <c r="F3" s="5386" t="n">
        <f>+E3*cotiza</f>
        <v>0</v>
      </c>
      <c r="G3" s="5387" t="n">
        <f>+F3*1.21</f>
        <v>0</v>
      </c>
    </row>
    <row r="4" spans="1:7" ht="24" customHeight="1">
      <c r="A4" s="4450"/>
      <c r="B4" s="5388" t="str">
        <f>+PD!C2</f>
        <v>Rack</v>
      </c>
      <c r="C4" s="5389" t="n">
        <f>+SUM(D4:D10)</f>
        <v>0</v>
      </c>
      <c r="D4" s="5389" t="str">
        <f>IF($E$3=0,"",+E4/$E$3)</f>
        <v/>
      </c>
      <c r="E4" s="5390" t="n">
        <f>+PD!L2</f>
        <v>0</v>
      </c>
      <c r="F4" s="5391"/>
    </row>
    <row r="5" spans="1:7" ht="24" customHeight="1">
      <c r="A5" s="4454"/>
      <c r="B5" s="5392" t="str">
        <f>+PD!C3</f>
        <v>Cableado</v>
      </c>
      <c r="C5" s="4693"/>
      <c r="D5" s="5393" t="str">
        <f>IF($E$3=0,"",+E5/$E$3)</f>
        <v/>
      </c>
      <c r="E5" s="5394" t="n">
        <f>+PD!L3</f>
        <v>0</v>
      </c>
      <c r="F5" s="5395"/>
    </row>
    <row r="6" spans="1:7" ht="24" customHeight="1">
      <c r="A6" s="4450"/>
      <c r="B6" s="5388" t="str">
        <f>+PD!C4</f>
        <v>Canalizaciones</v>
      </c>
      <c r="C6" s="4698"/>
      <c r="D6" s="5389" t="str">
        <f>IF($E$3=0,"",+E6/$E$3)</f>
        <v/>
      </c>
      <c r="E6" s="5390" t="n">
        <f>+PD!L4</f>
        <v>0</v>
      </c>
      <c r="F6" s="5391"/>
    </row>
    <row r="7" spans="1:7" ht="24" customHeight="1">
      <c r="A7" s="4454"/>
      <c r="B7" s="5392" t="str">
        <f>+PD!C5</f>
        <v>Terminales</v>
      </c>
      <c r="C7" s="4693"/>
      <c r="D7" s="5393" t="str">
        <f>IF($E$3=0,"",+E7/$E$3)</f>
        <v/>
      </c>
      <c r="E7" s="5394" t="n">
        <f>+PD!L5</f>
        <v>0</v>
      </c>
      <c r="F7" s="5395"/>
    </row>
    <row r="8" spans="1:7" ht="24" customHeight="1">
      <c r="A8" s="4450"/>
      <c r="B8" s="5388" t="str">
        <f>+PD!C6</f>
        <v>Equipos Activos</v>
      </c>
      <c r="C8" s="4698"/>
      <c r="D8" s="5389" t="str">
        <f>IF($E$3=0,"",+E8/$E$3)</f>
        <v/>
      </c>
      <c r="E8" s="5390" t="n">
        <f>+PD!L6</f>
        <v>0</v>
      </c>
      <c r="F8" s="5391"/>
    </row>
    <row r="9" spans="1:7" ht="24" customHeight="1">
      <c r="A9" s="4454"/>
      <c r="B9" s="5392" t="str">
        <f>+PD!C7</f>
        <v>Accesorios</v>
      </c>
      <c r="C9" s="4693"/>
      <c r="D9" s="5393" t="str">
        <f>IF($E$3=0,"",+E9/$E$3)</f>
        <v/>
      </c>
      <c r="E9" s="5394" t="n">
        <f>+PD!L7</f>
        <v>0</v>
      </c>
      <c r="F9" s="5395"/>
    </row>
    <row r="10" spans="1:7" ht="24" customHeight="1">
      <c r="A10" s="4450"/>
      <c r="B10" s="5388" t="str">
        <f>+PD!C8</f>
        <v>Consumibles</v>
      </c>
      <c r="C10" s="4698"/>
      <c r="D10" s="5389" t="str">
        <f>IF($E$3=0,"",+E10/$E$3)</f>
        <v/>
      </c>
      <c r="E10" s="5390" t="n">
        <f>+PD!L8</f>
        <v>0</v>
      </c>
      <c r="F10" s="5391"/>
    </row>
    <row r="11" spans="1:7" ht="24" customHeight="1">
      <c r="A11" s="4454"/>
      <c r="B11" s="5392" t="str">
        <f>+PD!C9</f>
        <v>Ingeniería</v>
      </c>
      <c r="C11" s="5393" t="n">
        <f>+SUM(D11:D17)</f>
        <v>0</v>
      </c>
      <c r="D11" s="5393" t="str">
        <f>IF($E$3=0,"",+E11/$E$3)</f>
        <v/>
      </c>
      <c r="E11" s="5394" t="n">
        <f>+PD!L9</f>
        <v>0</v>
      </c>
      <c r="F11" s="5395"/>
    </row>
    <row r="12" spans="1:7" ht="24" customHeight="1">
      <c r="A12" s="4450"/>
      <c r="B12" s="5388" t="str">
        <f>+PD!C10</f>
        <v>Instalaciones y Montajes</v>
      </c>
      <c r="C12" s="4698"/>
      <c r="D12" s="5389" t="str">
        <f>IF($E$3=0,"",+E12/$E$3)</f>
        <v/>
      </c>
      <c r="E12" s="5390" t="n">
        <f>+PD!L10</f>
        <v>0</v>
      </c>
      <c r="F12" s="5391"/>
    </row>
    <row r="13" spans="1:7" ht="24" customHeight="1">
      <c r="A13" s="4454"/>
      <c r="B13" s="5392" t="str">
        <f>+PD!C11</f>
        <v>Tendidos</v>
      </c>
      <c r="C13" s="4693"/>
      <c r="D13" s="5393" t="str">
        <f>IF($E$3=0,"",+E13/$E$3)</f>
        <v/>
      </c>
      <c r="E13" s="5394" t="n">
        <f>+PD!L11</f>
        <v>0</v>
      </c>
      <c r="F13" s="5395"/>
    </row>
    <row r="14" spans="1:7" ht="24" customHeight="1">
      <c r="A14" s="4450"/>
      <c r="B14" s="5388" t="str">
        <f>+PD!C12</f>
        <v>Pruebas</v>
      </c>
      <c r="C14" s="4698"/>
      <c r="D14" s="5389" t="str">
        <f>IF($E$3=0,"",+E14/$E$3)</f>
        <v/>
      </c>
      <c r="E14" s="5390" t="n">
        <f>+PD!L12</f>
        <v>0</v>
      </c>
      <c r="F14" s="5391"/>
    </row>
    <row r="15" spans="1:7" ht="24" customHeight="1">
      <c r="A15" s="4454"/>
      <c r="B15" s="5392" t="str">
        <f>+PD!C13</f>
        <v>Certificaciones</v>
      </c>
      <c r="C15" s="4693"/>
      <c r="D15" s="5393" t="str">
        <f>IF($E$3=0,"",+E15/$E$3)</f>
        <v/>
      </c>
      <c r="E15" s="5394" t="n">
        <f>+PD!L13</f>
        <v>0</v>
      </c>
      <c r="F15" s="5395"/>
    </row>
    <row r="16" spans="1:7" ht="24" customHeight="1">
      <c r="A16" s="4450"/>
      <c r="B16" s="5388" t="str">
        <f>+PD!C14</f>
        <v>Puesta en Servicio</v>
      </c>
      <c r="C16" s="4698"/>
      <c r="D16" s="5389" t="str">
        <f>IF($E$3=0,"",+E16/$E$3)</f>
        <v/>
      </c>
      <c r="E16" s="5390" t="n">
        <f>+PD!L14</f>
        <v>0</v>
      </c>
      <c r="F16" s="5391"/>
    </row>
    <row r="17" spans="1:9" ht="24" customHeight="1">
      <c r="A17" s="4454"/>
      <c r="B17" s="5396" t="str">
        <f>+PD!C15</f>
        <v>Capacitaciones</v>
      </c>
      <c r="C17" s="4693"/>
      <c r="D17" s="5393" t="str">
        <f>IF($E$3=0,"",+E17/$E$3)</f>
        <v/>
      </c>
      <c r="E17" s="5394" t="n">
        <f>+PD!L15</f>
        <v>0</v>
      </c>
      <c r="F17" s="5395"/>
    </row>
    <row r="18" spans="1:9" ht="24" customHeight="1">
      <c r="A18" s="4450"/>
      <c r="B18" s="5388" t="str">
        <f>+PD!C16</f>
        <v>Servicios Logísticos</v>
      </c>
      <c r="C18" s="5389" t="str">
        <f>+D18</f>
        <v/>
      </c>
      <c r="D18" s="5389" t="str">
        <f>IF($E$3=0,"",+E18/$E$3)</f>
        <v/>
      </c>
      <c r="E18" s="5390" t="n">
        <f>+PD!L16</f>
        <v>0</v>
      </c>
      <c r="F18" s="5391"/>
    </row>
    <row r="19" spans="1:9" ht="24" customHeight="1">
      <c r="A19" s="4454"/>
      <c r="B19" s="5443"/>
      <c r="C19" s="4694"/>
      <c r="D19" s="4694"/>
      <c r="E19" s="5397"/>
      <c r="F19" s="5395"/>
    </row>
    <row r="20" spans="1:9" ht="24" customHeight="1">
      <c r="A20" s="5382">
        <v>2</v>
      </c>
      <c r="B20" s="5514" t="s">
        <v>57</v>
      </c>
      <c r="C20" s="4684"/>
      <c r="D20" s="4706"/>
      <c r="E20" s="5445"/>
      <c r="F20" s="5446"/>
    </row>
    <row r="21" spans="1:9" ht="24" customHeight="1">
      <c r="A21" s="4454"/>
      <c r="B21" s="5513" t="s">
        <v>56</v>
      </c>
      <c r="C21" s="4694"/>
      <c r="D21" s="5447"/>
      <c r="E21" s="5385" t="n">
        <f>SUM(E22:E36)</f>
        <v>0</v>
      </c>
      <c r="F21" s="5386" t="n">
        <f>+E21*cotiza</f>
        <v>0</v>
      </c>
      <c r="H21" s="5448"/>
      <c r="I21" s="5437"/>
    </row>
    <row r="22" spans="1:9" ht="24" customHeight="1">
      <c r="A22" s="4450"/>
      <c r="B22" s="5398" t="str">
        <f>+B4</f>
        <v>Rack</v>
      </c>
      <c r="C22" s="5389" t="n">
        <f>+SUM(D22:D28)</f>
        <v>0</v>
      </c>
      <c r="D22" s="5389" t="str">
        <f>IF($E$21=0,"",+E22/$E$21)</f>
        <v/>
      </c>
      <c r="E22" s="5390" t="n">
        <f>+PD!J2</f>
        <v>0</v>
      </c>
      <c r="F22" s="5377" t="n">
        <f>+SUM(E22:E28)*cotiza</f>
        <v>0</v>
      </c>
      <c r="G22" s="5399" t="str">
        <f>IF(F3=0,"",+F22/F3)</f>
        <v/>
      </c>
      <c r="I22" s="5449"/>
    </row>
    <row r="23" spans="1:9" ht="24" customHeight="1">
      <c r="A23" s="4454"/>
      <c r="B23" s="5400" t="str">
        <f t="shared" ref="B23:B36" si="2">+B5</f>
        <v>Cableado</v>
      </c>
      <c r="C23" s="4693"/>
      <c r="D23" s="5393" t="str">
        <f>IF($E$21=0,"",+E23/$E$21)</f>
        <v/>
      </c>
      <c r="E23" s="5394" t="n">
        <f>+PD!J3</f>
        <v>0</v>
      </c>
      <c r="F23" s="4714"/>
    </row>
    <row r="24" spans="1:9" ht="24" customHeight="1">
      <c r="A24" s="4450"/>
      <c r="B24" s="5398" t="str">
        <f t="shared" si="2"/>
        <v>Canalizaciones</v>
      </c>
      <c r="C24" s="4698"/>
      <c r="D24" s="5389" t="str">
        <f>IF($E$21=0,"",+E24/$E$21)</f>
        <v/>
      </c>
      <c r="E24" s="5390" t="n">
        <f>+PD!J4</f>
        <v>0</v>
      </c>
      <c r="F24" s="4716"/>
    </row>
    <row r="25" spans="1:9" ht="24" customHeight="1">
      <c r="A25" s="4454"/>
      <c r="B25" s="5400" t="str">
        <f t="shared" si="2"/>
        <v>Terminales</v>
      </c>
      <c r="C25" s="4693"/>
      <c r="D25" s="5393" t="str">
        <f>IF($E$21=0,"",+E25/$E$21)</f>
        <v/>
      </c>
      <c r="E25" s="5394" t="n">
        <f>+PD!J5</f>
        <v>0</v>
      </c>
      <c r="F25" s="4714"/>
    </row>
    <row r="26" spans="1:9" ht="24" customHeight="1">
      <c r="A26" s="4450"/>
      <c r="B26" s="5398" t="str">
        <f t="shared" si="2"/>
        <v>Equipos Activos</v>
      </c>
      <c r="C26" s="4698"/>
      <c r="D26" s="5389" t="str">
        <f>IF($E$21=0,"",+E26/$E$21)</f>
        <v/>
      </c>
      <c r="E26" s="5390" t="n">
        <f>+PD!J6</f>
        <v>0</v>
      </c>
      <c r="F26" s="4716"/>
    </row>
    <row r="27" spans="1:9" ht="24" customHeight="1">
      <c r="A27" s="4454"/>
      <c r="B27" s="5400" t="str">
        <f t="shared" si="2"/>
        <v>Accesorios</v>
      </c>
      <c r="C27" s="4693"/>
      <c r="D27" s="5393" t="str">
        <f>IF($E$21=0,"",+E27/$E$21)</f>
        <v/>
      </c>
      <c r="E27" s="5394" t="n">
        <f>+PD!J7</f>
        <v>0</v>
      </c>
      <c r="F27" s="4714"/>
    </row>
    <row r="28" spans="1:9" ht="24" customHeight="1">
      <c r="A28" s="4450"/>
      <c r="B28" s="5398" t="str">
        <f t="shared" si="2"/>
        <v>Consumibles</v>
      </c>
      <c r="C28" s="4698"/>
      <c r="D28" s="5389" t="str">
        <f>IF($E$21=0,"",+E28/$E$21)</f>
        <v/>
      </c>
      <c r="E28" s="5390" t="n">
        <f>+PD!J8</f>
        <v>0</v>
      </c>
      <c r="F28" s="4716"/>
    </row>
    <row r="29" spans="1:9" ht="24" customHeight="1">
      <c r="A29" s="4454"/>
      <c r="B29" s="5400" t="str">
        <f t="shared" si="2"/>
        <v>Ingeniería</v>
      </c>
      <c r="C29" s="5393" t="n">
        <f>+SUM(D29:D35)</f>
        <v>0</v>
      </c>
      <c r="D29" s="5393" t="str">
        <f>IF($E$21=0,"",+E29/$E$21)</f>
        <v/>
      </c>
      <c r="E29" s="5394" t="n">
        <f>+PD!J9</f>
        <v>0</v>
      </c>
      <c r="F29" s="5401" t="n">
        <f>+SUM(E29:E35)*cotiza</f>
        <v>0</v>
      </c>
    </row>
    <row r="30" spans="1:9" ht="24" customHeight="1">
      <c r="A30" s="4450"/>
      <c r="B30" s="5398" t="str">
        <f t="shared" si="2"/>
        <v>Instalaciones y Montajes</v>
      </c>
      <c r="C30" s="4698"/>
      <c r="D30" s="5389" t="str">
        <f>IF($E$21=0,"",+E30/$E$21)</f>
        <v/>
      </c>
      <c r="E30" s="5390" t="n">
        <f>+PD!J10</f>
        <v>0</v>
      </c>
      <c r="F30" s="4716"/>
    </row>
    <row r="31" spans="1:9" ht="24" customHeight="1">
      <c r="A31" s="4454"/>
      <c r="B31" s="5400" t="str">
        <f t="shared" si="2"/>
        <v>Tendidos</v>
      </c>
      <c r="C31" s="4693"/>
      <c r="D31" s="5393" t="str">
        <f>IF($E$21=0,"",+E31/$E$21)</f>
        <v/>
      </c>
      <c r="E31" s="5394" t="n">
        <f>+PD!J11</f>
        <v>0</v>
      </c>
      <c r="F31" s="4714"/>
    </row>
    <row r="32" spans="1:9" ht="24" customHeight="1">
      <c r="A32" s="4450"/>
      <c r="B32" s="5398" t="str">
        <f t="shared" si="2"/>
        <v>Pruebas</v>
      </c>
      <c r="C32" s="4698"/>
      <c r="D32" s="5389" t="str">
        <f>IF($E$21=0,"",+E32/$E$21)</f>
        <v/>
      </c>
      <c r="E32" s="5390" t="n">
        <f>+PD!J12</f>
        <v>0</v>
      </c>
      <c r="F32" s="4716"/>
    </row>
    <row r="33" spans="1:6" ht="24" customHeight="1">
      <c r="A33" s="4454"/>
      <c r="B33" s="5400" t="str">
        <f t="shared" si="2"/>
        <v>Certificaciones</v>
      </c>
      <c r="C33" s="4693"/>
      <c r="D33" s="5393" t="str">
        <f>IF($E$21=0,"",+E33/$E$21)</f>
        <v/>
      </c>
      <c r="E33" s="5394" t="n">
        <f>+PD!J13</f>
        <v>0</v>
      </c>
      <c r="F33" s="4714"/>
    </row>
    <row r="34" spans="1:6" ht="24" customHeight="1">
      <c r="A34" s="4450"/>
      <c r="B34" s="5398" t="str">
        <f t="shared" si="2"/>
        <v>Puesta en Servicio</v>
      </c>
      <c r="C34" s="4698"/>
      <c r="D34" s="5389" t="str">
        <f>IF($E$21=0,"",+E34/$E$21)</f>
        <v/>
      </c>
      <c r="E34" s="5390" t="n">
        <f>+PD!J14</f>
        <v>0</v>
      </c>
      <c r="F34" s="4716"/>
    </row>
    <row r="35" spans="1:6" ht="24" customHeight="1">
      <c r="A35" s="4454"/>
      <c r="B35" s="5400" t="str">
        <f t="shared" si="2"/>
        <v>Capacitaciones</v>
      </c>
      <c r="C35" s="4693"/>
      <c r="D35" s="5393" t="str">
        <f>IF($E$21=0,"",+E35/$E$21)</f>
        <v/>
      </c>
      <c r="E35" s="5394" t="n">
        <f>+PD!J15</f>
        <v>0</v>
      </c>
      <c r="F35" s="4714"/>
    </row>
    <row r="36" spans="1:6" ht="24" customHeight="1">
      <c r="A36" s="4450"/>
      <c r="B36" s="5398" t="str">
        <f t="shared" si="2"/>
        <v>Servicios Logísticos</v>
      </c>
      <c r="C36" s="5389" t="str">
        <f>+D36</f>
        <v/>
      </c>
      <c r="D36" s="5389" t="str">
        <f>IF($E$21=0,"",+E36/$E$21)</f>
        <v/>
      </c>
      <c r="E36" s="5390" t="n">
        <f>+PD!J16</f>
        <v>0</v>
      </c>
      <c r="F36" s="5377" t="n">
        <f>+E36*cotiza</f>
        <v>0</v>
      </c>
    </row>
    <row r="37" spans="1:6" ht="24" customHeight="1">
      <c r="A37" s="4454"/>
      <c r="B37" s="5443"/>
      <c r="C37" s="4694"/>
      <c r="D37" s="4694"/>
      <c r="E37" s="5397"/>
      <c r="F37" s="5442"/>
    </row>
    <row r="38" spans="1:6" ht="24" customHeight="1">
      <c r="A38" s="4450"/>
      <c r="B38" s="5450"/>
      <c r="C38" s="4684"/>
      <c r="D38" s="4684"/>
      <c r="E38" s="5402"/>
      <c r="F38" s="5441"/>
    </row>
    <row r="39" spans="1:6" ht="24" customHeight="1">
      <c r="A39" s="5403">
        <v>3</v>
      </c>
      <c r="B39" s="5515" t="s">
        <v>58</v>
      </c>
      <c r="C39" s="4729"/>
      <c r="D39" s="4730"/>
      <c r="E39" s="5452"/>
      <c r="F39" s="5453"/>
    </row>
    <row r="40" spans="1:6" ht="24" customHeight="1">
      <c r="A40" s="4450"/>
      <c r="B40" s="5404"/>
      <c r="C40" s="4500"/>
      <c r="D40" s="5405" t="str">
        <f>IF(E2=0,"",+E40/E2)</f>
        <v/>
      </c>
      <c r="E40" s="5383" t="n">
        <f>+E3-E21</f>
        <v>0</v>
      </c>
      <c r="F40" s="5441"/>
    </row>
    <row r="41" spans="1:6" ht="24" customHeight="1">
      <c r="A41" s="4454"/>
      <c r="B41" s="5400"/>
      <c r="C41" s="4507"/>
      <c r="D41" s="5442"/>
      <c r="E41" s="5454"/>
      <c r="F41" s="5436"/>
    </row>
    <row r="42" spans="1:6" ht="24" customHeight="1">
      <c r="A42" s="4450"/>
      <c r="B42" s="5398"/>
      <c r="C42" s="4500"/>
      <c r="D42" s="5441"/>
      <c r="E42" s="5455"/>
      <c r="F42" s="5435"/>
    </row>
    <row r="43" spans="1:6" ht="24" customHeight="1">
      <c r="A43" s="5403">
        <v>4</v>
      </c>
      <c r="B43" s="5515" t="s">
        <v>59</v>
      </c>
      <c r="C43" s="4729"/>
      <c r="D43" s="4730"/>
      <c r="E43" s="5452"/>
      <c r="F43" s="5453"/>
    </row>
    <row r="44" spans="1:6" ht="24" customHeight="1">
      <c r="A44" s="4450"/>
      <c r="B44" s="5516" t="s">
        <v>60</v>
      </c>
      <c r="C44" s="4500"/>
      <c r="D44" s="5380"/>
      <c r="E44" s="5406" t="n">
        <f>+E2*D44</f>
        <v>0</v>
      </c>
      <c r="F44" s="5435"/>
    </row>
    <row r="45" spans="1:6" ht="24" customHeight="1">
      <c r="A45" s="4454"/>
      <c r="B45" s="5517" t="s">
        <v>61</v>
      </c>
      <c r="C45" s="4507"/>
      <c r="D45" s="5442"/>
      <c r="E45" s="5454"/>
      <c r="F45" s="5436"/>
    </row>
    <row r="46" spans="1:6" ht="24" customHeight="1">
      <c r="A46" s="4450"/>
      <c r="B46" s="5518" t="s">
        <v>62</v>
      </c>
      <c r="C46" s="4500"/>
      <c r="D46" s="5441"/>
      <c r="E46" s="5455"/>
      <c r="F46" s="5435"/>
    </row>
    <row r="47" spans="1:6" ht="24" customHeight="1">
      <c r="A47" s="4454"/>
      <c r="B47" s="5517" t="s">
        <v>63</v>
      </c>
      <c r="C47" s="4507"/>
      <c r="D47" s="5442"/>
      <c r="E47" s="5454"/>
      <c r="F47" s="5436"/>
    </row>
    <row r="48" spans="1:6">
      <c r="A48" s="4202"/>
      <c r="B48" s="5407"/>
      <c r="C48" s="4321"/>
      <c r="D48" s="5456"/>
      <c r="E48" s="5457"/>
      <c r="F48" s="5458"/>
    </row>
    <row r="49" spans="1:6">
      <c r="A49" s="4203"/>
      <c r="C49" s="4198"/>
      <c r="F49" s="5459"/>
    </row>
  </sheetData>
  <mergeCells count="6">
    <mergeCell ref="C22:C28"/>
    <mergeCell ref="C4:C10"/>
    <mergeCell ref="C11:C17"/>
    <mergeCell ref="C29:C35"/>
    <mergeCell ref="F22:F28"/>
    <mergeCell ref="F29:F35"/>
  </mergeCells>
  <printOptions horizontalCentered="0" gridLines="0" headings="0"/>
  <pageMargins left="0.25" right="0.25" top="0.65" bottom="0.5" header="0.2" footer="0.2"/>
  <pageSetup paperSize="8" orientation="landscape" scale="100" fitToWidth="0" fitToHeight="0"/>
  <headerFooter scaleWithDoc="0">
    <oddHeader>&amp;L&amp;"UM Sans 2,Regular"&amp;10 3-CUADRO DE RESULTADO&amp;R&amp;G</oddHeader>
    <oddFooter>&amp;L&amp;"UM Sans 2,Regular"&amp;9ULTIMA MILLA S.A. · Uso interno&amp;R&amp;"UM Sans 2,Regular"&amp;9&amp;P / &amp;N</oddFooter>
  </headerFooter>
  <legacyDrawingHF r:id="rIdUMSABra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0"/>
  </sheetPr>
  <dimension ref="I1:K1"/>
  <sheetViews>
    <sheetView zoomScale="140" zoomScaleNormal="140" workbookViewId="0" tabSelected="0">
      <selection activeCell="A25" sqref="A1:XFD1048576"/>
    </sheetView>
  </sheetViews>
  <sheetFormatPr baseColWidth="10" defaultRowHeight="13.2"/>
  <cols>
    <col min="9" max="9" width="11.44140625" style="6"/>
    <col min="11" max="11" width="11.44140625" style="123"/>
  </cols>
  <sheetData/>
  <printOptions horizontalCentered="0" gridLines="0" headings="0"/>
  <pageMargins left="0.25" right="0.25" top="0.65" bottom="0.5" header="0.2" footer="0.2"/>
  <pageSetup paperSize="9" orientation="landscape" scale="100" fitToWidth="0" fitToHeight="0"/>
  <headerFooter scaleWithDoc="0">
    <oddHeader>&amp;L&amp;"UM Sans 2,Regular"&amp;10 2-DIMENSIONAMIENTO&amp;R&amp;G</oddHeader>
    <oddFooter>&amp;L&amp;"UM Sans 2,Regular"&amp;9ULTIMA MILLA S.A. · Uso interno&amp;R&amp;"UM Sans 2,Regular"&amp;9&amp;P / &amp;N</oddFooter>
  </headerFooter>
  <legacyDrawingHF r:id="rIdUMSABra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0"/>
  </sheetPr>
  <dimension ref="A1:F3"/>
  <sheetViews>
    <sheetView showGridLines="0" workbookViewId="0" tabSelected="0">
      <pane ySplit="1" topLeftCell="A2" activePane="bottomLeft" state="frozen"/>
    </sheetView>
  </sheetViews>
  <sheetFormatPr baseColWidth="10" defaultColWidth="11.44140625" defaultRowHeight="11.4"/>
  <cols>
    <col min="1" max="1" width="9.380000114440918" style="432" hidden="0" customWidth="1"/>
    <col min="2" max="2" width="19.3799991607666" style="432" hidden="0" customWidth="1"/>
    <col min="3" max="3" width="55" style="432" hidden="0" customWidth="1"/>
    <col min="4" max="4" width="11.880000114440918" style="440" hidden="0" customWidth="1"/>
    <col min="5" max="5" width="23.75" style="433" hidden="0" customWidth="1"/>
    <col min="6" max="6" width="18.1299991607666" style="430" hidden="0" customWidth="1"/>
    <col min="7" max="16384" width="11.44140625" style="430" customWidth="0"/>
  </cols>
  <sheetData>
    <row r="1" spans="1:6" ht="48" customHeight="1">
      <c r="A1" s="5243" t="s">
        <v>64</v>
      </c>
      <c r="B1" s="5243" t="s">
        <v>65</v>
      </c>
      <c r="C1" s="5243" t="s">
        <v>3</v>
      </c>
      <c r="D1" s="5243" t="s">
        <v>66</v>
      </c>
      <c r="E1" s="5243" t="s">
        <v>67</v>
      </c>
    </row>
    <row r="2" spans="1:6" ht="32" customHeight="1">
      <c r="A2" s="5408">
        <v>1</v>
      </c>
      <c r="B2" s="4793"/>
      <c r="C2" s="5519" t="s">
        <v>68</v>
      </c>
      <c r="D2" s="5408"/>
      <c r="E2" s="5409" t="n">
        <f>ROUNDUP(+(PD!L1*cotiza)*1.21,0)</f>
        <v>0</v>
      </c>
      <c r="F2" s="5410" t="n">
        <f>+E2/49</f>
        <v>0</v>
      </c>
    </row>
    <row r="3" spans="1:6" ht="32" customHeight="1">
      <c r="F3" s="5411" t="str">
        <f>IF(cotiza=0,"",+F2/cotiza)</f>
        <v/>
      </c>
    </row>
  </sheetData>
  <printOptions horizontalCentered="0" gridLines="0" headings="0"/>
  <pageMargins left="0.25" right="0.25" top="0.65" bottom="0.5" header="0.2" footer="0.2"/>
  <pageSetup paperSize="9" orientation="landscape" scale="100" fitToWidth="0" fitToHeight="0"/>
  <headerFooter scaleWithDoc="0">
    <oddHeader>&amp;L&amp;"UM Sans 2,Regular"&amp;10 6-OFERTA&amp;R&amp;G</oddHeader>
    <oddFooter>&amp;L&amp;"UM Sans 2,Regular"&amp;9ULTIMA MILLA S.A. · Uso interno&amp;R&amp;"UM Sans 2,Regular"&amp;9&amp;P / &amp;N</oddFooter>
  </headerFooter>
  <legacyDrawingHF r:id="rIdUMSABra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0"/>
  </sheetPr>
  <dimension ref="A1:D9"/>
  <sheetViews>
    <sheetView showGridLines="0" workbookViewId="0" tabSelected="0">
      <pane ySplit="1" topLeftCell="A2" activePane="bottomLeft" state="frozen"/>
    </sheetView>
  </sheetViews>
  <sheetFormatPr baseColWidth="10" defaultRowHeight="13.2"/>
  <cols>
    <col min="1" max="1" width="51.25" hidden="0" customWidth="1"/>
    <col min="3" max="3" width="12.5" hidden="0" customWidth="1"/>
    <col min="4" max="4" width="15" style="359" hidden="0" customWidth="1"/>
    <col min="2" max="2" width="21.25" hidden="0" customWidth="1"/>
  </cols>
  <sheetData>
    <row r="1" spans="1:4" ht="48" customHeight="1">
      <c r="A1" s="5244" t="s">
        <v>3</v>
      </c>
      <c r="B1" s="5244" t="s">
        <v>69</v>
      </c>
      <c r="C1" s="5244" t="s">
        <v>70</v>
      </c>
      <c r="D1" s="5243" t="s">
        <v>71</v>
      </c>
    </row>
    <row r="2" spans="1:4" ht="32" customHeight="1">
      <c r="A2" s="5520" t="s">
        <v>72</v>
      </c>
      <c r="B2" s="4824"/>
      <c r="C2" s="4824"/>
      <c r="D2" s="4824"/>
    </row>
    <row r="3" spans="1:4" ht="32" customHeight="1">
      <c r="A3" s="5521" t="s">
        <v>73</v>
      </c>
      <c r="B3" s="5522" t="s">
        <v>74</v>
      </c>
      <c r="C3" s="5522" t="s">
        <v>75</v>
      </c>
      <c r="D3" s="4826"/>
    </row>
    <row r="4" spans="1:4" ht="32" customHeight="1">
      <c r="A4" s="5523" t="s">
        <v>76</v>
      </c>
      <c r="B4" s="5524" t="s">
        <v>74</v>
      </c>
      <c r="C4" s="5524" t="s">
        <v>75</v>
      </c>
      <c r="D4" s="4793"/>
    </row>
    <row r="5" spans="1:4" ht="32" customHeight="1">
      <c r="A5" s="5521" t="s">
        <v>77</v>
      </c>
      <c r="B5" s="5522" t="s">
        <v>74</v>
      </c>
      <c r="C5" s="5522" t="s">
        <v>75</v>
      </c>
      <c r="D5" s="4826"/>
    </row>
    <row r="6" spans="1:4" ht="32" customHeight="1">
      <c r="A6" s="5523" t="s">
        <v>78</v>
      </c>
      <c r="B6" s="5524" t="s">
        <v>74</v>
      </c>
      <c r="C6" s="5524" t="s">
        <v>75</v>
      </c>
      <c r="D6" s="4793"/>
    </row>
    <row r="7" spans="1:4" ht="32" customHeight="1">
      <c r="A7" s="5525" t="s">
        <v>79</v>
      </c>
      <c r="B7" s="4831"/>
      <c r="C7" s="4831"/>
      <c r="D7" s="4832"/>
    </row>
    <row r="8" spans="1:4" ht="32" customHeight="1">
      <c r="A8" s="5523" t="s">
        <v>80</v>
      </c>
      <c r="B8" s="5524" t="s">
        <v>81</v>
      </c>
      <c r="C8" s="5524" t="s">
        <v>75</v>
      </c>
      <c r="D8" s="4793"/>
    </row>
    <row r="9" spans="1:4" ht="32" customHeight="1">
      <c r="A9" s="5521" t="s">
        <v>82</v>
      </c>
      <c r="B9" s="5522" t="s">
        <v>81</v>
      </c>
      <c r="C9" s="5522" t="s">
        <v>75</v>
      </c>
      <c r="D9" s="4826"/>
    </row>
  </sheetData>
  <mergeCells count="2">
    <mergeCell ref="A2:D2"/>
    <mergeCell ref="A7:D7"/>
  </mergeCells>
  <printOptions horizontalCentered="0" gridLines="0" headings="0"/>
  <pageMargins left="0.25" right="0.25" top="0.65" bottom="0.5" header="0.2" footer="0.2"/>
  <pageSetup paperSize="9" orientation="landscape" scale="100" fitToWidth="0" fitToHeight="0"/>
  <headerFooter scaleWithDoc="0">
    <oddHeader>&amp;L&amp;"UM Sans 2,Regular"&amp;10 materiales&amp;R&amp;G</oddHeader>
    <oddFooter>&amp;L&amp;"UM Sans 2,Regular"&amp;9ULTIMA MILLA S.A. · Uso interno&amp;R&amp;"UM Sans 2,Regular"&amp;9&amp;P / &amp;N</oddFooter>
  </headerFooter>
  <legacyDrawingHF r:id="rIdUMSABra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0"/>
  </sheetPr>
  <dimension ref="A1:P119"/>
  <sheetViews>
    <sheetView showGridLines="0" workbookViewId="0" tabSelected="1" topLeftCell="A1">
      <pane xSplit="4" ySplit="17" topLeftCell="A18" activePane="bottomRight" state="frozen"/>
    </sheetView>
  </sheetViews>
  <sheetFormatPr baseColWidth="10" defaultColWidth="11.44140625" defaultRowHeight="13.2" outlineLevelRow="1"/>
  <cols>
    <col min="1" max="1" width="8.130000114440918" style="300" hidden="0" customWidth="1"/>
    <col min="2" max="2" width="10" style="301" hidden="0" customWidth="1"/>
    <col min="3" max="3" width="41.25" style="302" hidden="0" customWidth="1"/>
    <col min="4" max="4" width="19.3799991607666" style="302" hidden="0" customWidth="1"/>
    <col min="5" max="5" width="12.5" style="301" hidden="0" customWidth="1"/>
    <col min="6" max="6" width="8.75" style="303" hidden="0" customWidth="1"/>
    <col min="7" max="7" width="8.75" style="301" hidden="0" customWidth="1"/>
    <col min="8" max="8" width="11.880000114440918" style="304" hidden="0" customWidth="1"/>
    <col min="9" max="9" width="15.630000114440918" style="293" hidden="0" customWidth="1"/>
    <col min="10" max="10" width="17.5" style="305" hidden="0" customWidth="1"/>
    <col min="11" max="11" width="11.880000114440918" style="259" hidden="0" customWidth="1"/>
    <col min="12" max="12" width="19.3799991607666" style="305" hidden="0" customWidth="1"/>
    <col min="13" max="13" width="19.3799991607666" style="286" hidden="0" customWidth="1"/>
    <col min="14" max="14" width="19.3799991607666" style="286" hidden="0" customWidth="1"/>
    <col min="15" max="16" width="20.109375" style="286" customWidth="1"/>
    <col min="17" max="17" width="15.5546875" style="286" customWidth="1"/>
    <col min="18" max="16384" width="11.44140625" style="286" customWidth="0"/>
    <col min="15" max="15" width="19.3799991607666" hidden="0" customWidth="1"/>
    <col min="16" max="16" width="19.3799991607666" hidden="0" customWidth="1"/>
  </cols>
  <sheetData>
    <row r="1" spans="1:16" s="40" customFormat="1" ht="48" customHeight="1">
      <c r="A1" s="5261" t="s">
        <v>83</v>
      </c>
      <c r="B1" s="5262" t="s">
        <v>51</v>
      </c>
      <c r="C1" s="5461" t="s">
        <v>72</v>
      </c>
      <c r="D1" s="5262"/>
      <c r="E1" s="5262"/>
      <c r="F1" s="5262"/>
      <c r="G1" s="5262"/>
      <c r="H1" s="5263"/>
      <c r="I1" s="5264" t="n">
        <f>(+J1*cotiza)*1.21</f>
        <v>0</v>
      </c>
      <c r="J1" s="5244" t="n">
        <f>SUM(J2:J16)</f>
        <v>0</v>
      </c>
      <c r="K1" s="5265" t="str">
        <f>IF(L1=0,"",+(L1-J1)/L1)</f>
        <v/>
      </c>
      <c r="L1" s="5244" t="n">
        <f>SUM(L2:L16)</f>
        <v>0</v>
      </c>
      <c r="M1" s="5266" t="n">
        <f>+L1*cotiza</f>
        <v>0</v>
      </c>
      <c r="N1" s="5267" t="n">
        <f>+L1/13</f>
        <v>0</v>
      </c>
      <c r="O1" s="5268" t="n">
        <f>+N1+M1</f>
        <v>0</v>
      </c>
      <c r="P1" s="5268" t="n">
        <f>+O1*1.21</f>
        <v>0</v>
      </c>
    </row>
    <row r="2" spans="1:16" s="45" customFormat="1" ht="32" hidden="1" customHeight="1" outlineLevel="1">
      <c r="A2" s="5408">
        <v>1</v>
      </c>
      <c r="B2" s="5433"/>
      <c r="C2" s="5526" t="s">
        <v>84</v>
      </c>
      <c r="D2" s="5462"/>
      <c r="E2" s="5463"/>
      <c r="F2" s="5025"/>
      <c r="G2" s="5412" t="n">
        <f>SUM(I2:I8)</f>
        <v>0</v>
      </c>
      <c r="H2" s="5027"/>
      <c r="I2" s="5413" t="str">
        <f>IF($J$1=0,"",+J2/$J$1)</f>
        <v/>
      </c>
      <c r="J2" s="5398" t="n">
        <f>+J18</f>
        <v>0</v>
      </c>
      <c r="K2" s="5414" t="str">
        <f>IF(L2=0,"",+(L2-J2)/L2)</f>
        <v/>
      </c>
      <c r="L2" s="5398" t="n">
        <f>+L18</f>
        <v>0</v>
      </c>
      <c r="M2" s="5464"/>
    </row>
    <row r="3" spans="1:16" s="45" customFormat="1" ht="32" hidden="1" customHeight="1" outlineLevel="1">
      <c r="A3" s="5415">
        <v>2</v>
      </c>
      <c r="B3" s="5434"/>
      <c r="C3" s="5527" t="s">
        <v>85</v>
      </c>
      <c r="D3" s="5466"/>
      <c r="E3" s="5467"/>
      <c r="F3" s="5042"/>
      <c r="G3" s="5043"/>
      <c r="H3" s="5044"/>
      <c r="I3" s="5416" t="str">
        <f>IF($J$1=0,"",+J3/$J$1)</f>
        <v/>
      </c>
      <c r="J3" s="5400" t="n">
        <f>+J26</f>
        <v>0</v>
      </c>
      <c r="K3" s="5417" t="str">
        <f>IF(L3=0,"",+(L3-J3)/L3)</f>
        <v/>
      </c>
      <c r="L3" s="5400" t="n">
        <f>+L26</f>
        <v>0</v>
      </c>
      <c r="M3" s="5468"/>
    </row>
    <row r="4" spans="1:16" s="45" customFormat="1" ht="32" hidden="1" customHeight="1" outlineLevel="1">
      <c r="A4" s="5408">
        <v>3</v>
      </c>
      <c r="B4" s="5433"/>
      <c r="C4" s="5526" t="s">
        <v>86</v>
      </c>
      <c r="D4" s="5462"/>
      <c r="E4" s="5463"/>
      <c r="F4" s="5025"/>
      <c r="G4" s="5051"/>
      <c r="H4" s="5052"/>
      <c r="I4" s="5413" t="str">
        <f>IF($J$1=0,"",+J4/$J$1)</f>
        <v/>
      </c>
      <c r="J4" s="5398" t="n">
        <f>+J30</f>
        <v>0</v>
      </c>
      <c r="K4" s="5414" t="str">
        <f>IF(L4=0,"",+(L4-J4)/L4)</f>
        <v/>
      </c>
      <c r="L4" s="5398" t="n">
        <f>+L30</f>
        <v>0</v>
      </c>
      <c r="M4" s="5464"/>
    </row>
    <row r="5" spans="1:16" s="45" customFormat="1" ht="32" hidden="1" customHeight="1" outlineLevel="1">
      <c r="A5" s="5415">
        <v>4</v>
      </c>
      <c r="B5" s="5434"/>
      <c r="C5" s="5528" t="s">
        <v>87</v>
      </c>
      <c r="D5" s="5466"/>
      <c r="E5" s="5467"/>
      <c r="F5" s="5042"/>
      <c r="G5" s="5043"/>
      <c r="H5" s="5044"/>
      <c r="I5" s="5416" t="str">
        <f>IF($J$1=0,"",+J5/$J$1)</f>
        <v/>
      </c>
      <c r="J5" s="5400" t="n">
        <f>+J35</f>
        <v>0</v>
      </c>
      <c r="K5" s="5417" t="str">
        <f>IF(L5=0,"",+(L5-J5)/L5)</f>
        <v/>
      </c>
      <c r="L5" s="5400" t="n">
        <f>+L35</f>
        <v>0</v>
      </c>
      <c r="M5" s="5468"/>
    </row>
    <row r="6" spans="1:16" s="45" customFormat="1" ht="32" hidden="1" customHeight="1" outlineLevel="1">
      <c r="A6" s="5408">
        <v>5</v>
      </c>
      <c r="B6" s="5469"/>
      <c r="C6" s="5529" t="s">
        <v>88</v>
      </c>
      <c r="D6" s="5462"/>
      <c r="E6" s="5056"/>
      <c r="F6" s="5025"/>
      <c r="G6" s="5051"/>
      <c r="H6" s="5052"/>
      <c r="I6" s="5413" t="str">
        <f>IF($J$1=0,"",+J6/$J$1)</f>
        <v/>
      </c>
      <c r="J6" s="5398" t="n">
        <f>+J43</f>
        <v>0</v>
      </c>
      <c r="K6" s="5414" t="str">
        <f>IF(L6=0,"",+(L6-J6)/L6)</f>
        <v/>
      </c>
      <c r="L6" s="5398" t="n">
        <f>+L43</f>
        <v>0</v>
      </c>
      <c r="M6" s="5464"/>
    </row>
    <row r="7" spans="1:16" s="45" customFormat="1" ht="32" hidden="1" customHeight="1" outlineLevel="1">
      <c r="A7" s="5415">
        <v>6</v>
      </c>
      <c r="B7" s="5434"/>
      <c r="C7" s="5528" t="s">
        <v>89</v>
      </c>
      <c r="D7" s="5466"/>
      <c r="E7" s="5058"/>
      <c r="F7" s="5042"/>
      <c r="G7" s="5043"/>
      <c r="H7" s="5044"/>
      <c r="I7" s="5416" t="str">
        <f>IF($J$1=0,"",+J7/$J$1)</f>
        <v/>
      </c>
      <c r="J7" s="5400" t="n">
        <f>+J49</f>
        <v>0</v>
      </c>
      <c r="K7" s="5417" t="str">
        <f>IF(L7=0,"",+(L7-J7)/L7)</f>
        <v/>
      </c>
      <c r="L7" s="5400" t="n">
        <f>+L49</f>
        <v>0</v>
      </c>
      <c r="M7" s="5468"/>
    </row>
    <row r="8" spans="1:16" s="45" customFormat="1" ht="32" hidden="1" customHeight="1" outlineLevel="1">
      <c r="A8" s="5408">
        <v>7</v>
      </c>
      <c r="B8" s="5433"/>
      <c r="C8" s="5526" t="s">
        <v>90</v>
      </c>
      <c r="D8" s="5462"/>
      <c r="E8" s="5056"/>
      <c r="F8" s="5025"/>
      <c r="G8" s="5051"/>
      <c r="H8" s="5052"/>
      <c r="I8" s="5413" t="str">
        <f>IF($J$1=0,"",+J8/$J$1)</f>
        <v/>
      </c>
      <c r="J8" s="5398" t="n">
        <f>+J58</f>
        <v>0</v>
      </c>
      <c r="K8" s="5414" t="str">
        <f>IF(L8=0,"",+(L8-J8)/L8)</f>
        <v/>
      </c>
      <c r="L8" s="5398" t="n">
        <f>+L58</f>
        <v>0</v>
      </c>
      <c r="M8" s="5464"/>
    </row>
    <row r="9" spans="1:16" s="45" customFormat="1" ht="32" hidden="1" customHeight="1" outlineLevel="1">
      <c r="A9" s="5415">
        <v>8</v>
      </c>
      <c r="B9" s="5434"/>
      <c r="C9" s="5528" t="s">
        <v>91</v>
      </c>
      <c r="D9" s="5466"/>
      <c r="E9" s="5058"/>
      <c r="F9" s="5042"/>
      <c r="G9" s="5418" t="n">
        <f>SUM(I9:I15)</f>
        <v>0</v>
      </c>
      <c r="H9" s="5064"/>
      <c r="I9" s="5416" t="str">
        <f>IF($J$1=0,"",+J9/$J$1)</f>
        <v/>
      </c>
      <c r="J9" s="5400" t="n">
        <f>+J62</f>
        <v>0</v>
      </c>
      <c r="K9" s="5417" t="str">
        <f>IF(L9=0,"",+(L9-J9)/L9)</f>
        <v/>
      </c>
      <c r="L9" s="5400" t="n">
        <f>+L62</f>
        <v>0</v>
      </c>
      <c r="M9" s="5468"/>
    </row>
    <row r="10" spans="1:16" s="45" customFormat="1" ht="32" hidden="1" customHeight="1" outlineLevel="1">
      <c r="A10" s="5408">
        <v>9</v>
      </c>
      <c r="B10" s="5433"/>
      <c r="C10" s="5526" t="s">
        <v>92</v>
      </c>
      <c r="D10" s="5462"/>
      <c r="E10" s="5056"/>
      <c r="F10" s="5025"/>
      <c r="G10" s="5051"/>
      <c r="H10" s="5052"/>
      <c r="I10" s="5413" t="str">
        <f>IF($J$1=0,"",+J10/$J$1)</f>
        <v/>
      </c>
      <c r="J10" s="5398" t="n">
        <f>+J67</f>
        <v>0</v>
      </c>
      <c r="K10" s="5414" t="str">
        <f>IF(L10=0,"",+(L10-J10)/L10)</f>
        <v/>
      </c>
      <c r="L10" s="5398" t="n">
        <f>+L67</f>
        <v>0</v>
      </c>
      <c r="M10" s="5464"/>
    </row>
    <row r="11" spans="1:16" s="45" customFormat="1" ht="32" hidden="1" customHeight="1" outlineLevel="1">
      <c r="A11" s="5415">
        <v>10</v>
      </c>
      <c r="B11" s="5434"/>
      <c r="C11" s="5528" t="s">
        <v>93</v>
      </c>
      <c r="D11" s="5466"/>
      <c r="E11" s="5058"/>
      <c r="F11" s="5042"/>
      <c r="G11" s="5043"/>
      <c r="H11" s="5044"/>
      <c r="I11" s="5416" t="str">
        <f>IF($J$1=0,"",+J11/$J$1)</f>
        <v/>
      </c>
      <c r="J11" s="5400" t="n">
        <f>+J74</f>
        <v>0</v>
      </c>
      <c r="K11" s="5417" t="str">
        <f>IF(L11=0,"",+(L11-J11)/L11)</f>
        <v/>
      </c>
      <c r="L11" s="5400" t="n">
        <f>+L74</f>
        <v>0</v>
      </c>
      <c r="M11" s="5468"/>
    </row>
    <row r="12" spans="1:16" s="45" customFormat="1" ht="32" hidden="1" customHeight="1" outlineLevel="1">
      <c r="A12" s="5408">
        <v>11</v>
      </c>
      <c r="B12" s="5433"/>
      <c r="C12" s="5526" t="s">
        <v>94</v>
      </c>
      <c r="D12" s="5462"/>
      <c r="E12" s="5056"/>
      <c r="F12" s="5025"/>
      <c r="G12" s="5051"/>
      <c r="H12" s="5052"/>
      <c r="I12" s="5413" t="str">
        <f>IF($J$1=0,"",+J12/$J$1)</f>
        <v/>
      </c>
      <c r="J12" s="5398" t="n">
        <f>+J78</f>
        <v>0</v>
      </c>
      <c r="K12" s="5414" t="str">
        <f>IF(L12=0,"",+(L12-J12)/L12)</f>
        <v/>
      </c>
      <c r="L12" s="5398" t="n">
        <f>+L78</f>
        <v>0</v>
      </c>
      <c r="M12" s="5464"/>
    </row>
    <row r="13" spans="1:16" s="45" customFormat="1" ht="32" hidden="1" customHeight="1" outlineLevel="1">
      <c r="A13" s="5415">
        <v>12</v>
      </c>
      <c r="B13" s="5434"/>
      <c r="C13" s="5528" t="s">
        <v>95</v>
      </c>
      <c r="D13" s="5466"/>
      <c r="E13" s="5058"/>
      <c r="F13" s="5042"/>
      <c r="G13" s="5043"/>
      <c r="H13" s="5044"/>
      <c r="I13" s="5416" t="str">
        <f>IF($J$1=0,"",+J13/$J$1)</f>
        <v/>
      </c>
      <c r="J13" s="5400" t="n">
        <f>+J81</f>
        <v>0</v>
      </c>
      <c r="K13" s="5417" t="str">
        <f>IF(L13=0,"",+(L13-J13)/L13)</f>
        <v/>
      </c>
      <c r="L13" s="5400" t="n">
        <f>+L81</f>
        <v>0</v>
      </c>
      <c r="M13" s="5468"/>
    </row>
    <row r="14" spans="1:16" s="45" customFormat="1" ht="32" hidden="1" customHeight="1" outlineLevel="1">
      <c r="A14" s="5408">
        <v>13</v>
      </c>
      <c r="B14" s="5433"/>
      <c r="C14" s="5526" t="s">
        <v>96</v>
      </c>
      <c r="D14" s="5462"/>
      <c r="E14" s="5056"/>
      <c r="F14" s="5025"/>
      <c r="G14" s="5051"/>
      <c r="H14" s="5052"/>
      <c r="I14" s="5413" t="str">
        <f>IF($J$1=0,"",+J14/$J$1)</f>
        <v/>
      </c>
      <c r="J14" s="5398" t="n">
        <f>+J85</f>
        <v>0</v>
      </c>
      <c r="K14" s="5414" t="str">
        <f>IF(L14=0,"",+(L14-J14)/L14)</f>
        <v/>
      </c>
      <c r="L14" s="5398" t="n">
        <f>+L85</f>
        <v>0</v>
      </c>
      <c r="M14" s="5464"/>
    </row>
    <row r="15" spans="1:16" s="45" customFormat="1" ht="32" hidden="1" customHeight="1" outlineLevel="1">
      <c r="A15" s="5415">
        <v>14</v>
      </c>
      <c r="B15" s="5434"/>
      <c r="C15" s="5528" t="s">
        <v>97</v>
      </c>
      <c r="D15" s="5466"/>
      <c r="E15" s="5058"/>
      <c r="F15" s="5042"/>
      <c r="G15" s="5043"/>
      <c r="H15" s="5044"/>
      <c r="I15" s="5416" t="str">
        <f>IF($J$1=0,"",+J15/$J$1)</f>
        <v/>
      </c>
      <c r="J15" s="5400" t="n">
        <f>+J89</f>
        <v>0</v>
      </c>
      <c r="K15" s="5417" t="str">
        <f>IF(L15=0,"",+(L15-J15)/L15)</f>
        <v/>
      </c>
      <c r="L15" s="5400" t="n">
        <f>+L89</f>
        <v>0</v>
      </c>
      <c r="M15" s="5468"/>
    </row>
    <row r="16" spans="1:16" s="45" customFormat="1" ht="32" hidden="1" customHeight="1" outlineLevel="1">
      <c r="A16" s="5408">
        <v>15</v>
      </c>
      <c r="B16" s="5433"/>
      <c r="C16" s="5526" t="s">
        <v>98</v>
      </c>
      <c r="D16" s="5462"/>
      <c r="E16" s="5056"/>
      <c r="F16" s="5025"/>
      <c r="G16" s="5412" t="str">
        <f>+I16</f>
        <v/>
      </c>
      <c r="H16" s="5027"/>
      <c r="I16" s="5413" t="str">
        <f>IF($J$1=0,"",+J16/$J$1)</f>
        <v/>
      </c>
      <c r="J16" s="5398" t="n">
        <f>+J93</f>
        <v>0</v>
      </c>
      <c r="K16" s="5414" t="str">
        <f>IF(L16=0,"",+(L16-J16)/L16)</f>
        <v/>
      </c>
      <c r="L16" s="5398" t="n">
        <f>+L93</f>
        <v>0</v>
      </c>
      <c r="M16" s="5464"/>
    </row>
    <row r="17" spans="1:16" collapsed="1" ht="44" customHeight="1">
      <c r="A17" s="5364" t="s">
        <v>99</v>
      </c>
      <c r="B17" s="5365" t="s">
        <v>100</v>
      </c>
      <c r="C17" s="5365" t="s">
        <v>101</v>
      </c>
      <c r="D17" s="5365" t="s">
        <v>54</v>
      </c>
      <c r="E17" s="5365" t="s">
        <v>102</v>
      </c>
      <c r="F17" s="5365" t="s">
        <v>103</v>
      </c>
      <c r="G17" s="5365" t="s">
        <v>75</v>
      </c>
      <c r="H17" s="5419" t="s">
        <v>104</v>
      </c>
      <c r="I17" s="5419" t="inlineStr">
        <is>
          <t>Costo unitario USD</t>
        </is>
      </c>
      <c r="J17" s="5419" t="inlineStr">
        <is>
          <t>Costo total USD</t>
        </is>
      </c>
      <c r="K17" s="5419" t="inlineStr">
        <is>
          <t>CM (%)</t>
        </is>
      </c>
      <c r="L17" s="5419" t="inlineStr">
        <is>
          <t>Venta USD</t>
        </is>
      </c>
      <c r="M17" s="5419" t="inlineStr">
        <is>
          <t>Venta ARS</t>
        </is>
      </c>
    </row>
    <row r="18" spans="1:16" outlineLevel="1" ht="32" customHeight="1">
      <c r="A18" s="5420">
        <v>1</v>
      </c>
      <c r="B18" s="5188"/>
      <c r="C18" s="5471" t="str">
        <f>+C2</f>
        <v>Rack</v>
      </c>
      <c r="D18" s="5472"/>
      <c r="E18" s="5191"/>
      <c r="F18" s="5192"/>
      <c r="G18" s="5191"/>
      <c r="H18" s="5193"/>
      <c r="I18" s="5473"/>
      <c r="J18" s="5421" t="n">
        <f>SUM(J19:J25)</f>
        <v>0</v>
      </c>
      <c r="K18" s="5195"/>
      <c r="L18" s="5421" t="n">
        <f>SUM(L19:L25)</f>
        <v>0</v>
      </c>
      <c r="M18" s="5422" t="n">
        <f>+L18*cotiza</f>
        <v>0</v>
      </c>
      <c r="P18" s="5423" t="str">
        <f>IF(H36=0,"",+P1/H36)</f>
        <v/>
      </c>
    </row>
    <row r="19" spans="1:16" outlineLevel="1" ht="32" customHeight="1">
      <c r="A19" s="5084"/>
      <c r="B19" s="5058"/>
      <c r="C19" s="5474"/>
      <c r="D19" s="5475"/>
      <c r="E19" s="4506"/>
      <c r="F19" s="5086"/>
      <c r="G19" s="4506"/>
      <c r="H19" s="4826"/>
      <c r="I19" s="5434"/>
      <c r="J19" s="5376" t="n">
        <f t="shared" ref="J19" si="2">+I19*H19</f>
        <v>0</v>
      </c>
      <c r="K19" s="5424" t="n">
        <f t="shared" ref="K19:K25" si="3">+mc_mat</f>
        <v>0</v>
      </c>
      <c r="L19" s="5376" t="n">
        <f t="shared" ref="L19" si="4">+(J19 / (1-K19))</f>
        <v>0</v>
      </c>
    </row>
    <row r="20" spans="1:16" outlineLevel="1" ht="32" customHeight="1">
      <c r="A20" s="5089"/>
      <c r="B20" s="5056"/>
      <c r="C20" s="5476"/>
      <c r="D20" s="5477"/>
      <c r="E20" s="4499"/>
      <c r="F20" s="5080"/>
      <c r="G20" s="4499"/>
      <c r="H20" s="4793"/>
      <c r="I20" s="5435"/>
      <c r="J20" s="5381" t="n">
        <f t="shared" ref="J20:J23" si="5">+I20*H20</f>
        <v>0</v>
      </c>
      <c r="K20" s="5425" t="n">
        <f t="shared" si="3"/>
        <v>0</v>
      </c>
      <c r="L20" s="5381" t="n">
        <f t="shared" ref="L20:L23" si="6">+(J20 / (1-K20))</f>
        <v>0</v>
      </c>
    </row>
    <row r="21" spans="1:16" outlineLevel="1" ht="32" customHeight="1">
      <c r="A21" s="5084"/>
      <c r="B21" s="5058"/>
      <c r="C21" s="5474"/>
      <c r="D21" s="5475"/>
      <c r="E21" s="4506"/>
      <c r="F21" s="5086"/>
      <c r="G21" s="4506"/>
      <c r="H21" s="4826"/>
      <c r="I21" s="5434"/>
      <c r="J21" s="5376" t="n">
        <f t="shared" ref="J21" si="7">+I21*H21</f>
        <v>0</v>
      </c>
      <c r="K21" s="5424" t="n">
        <f t="shared" si="3"/>
        <v>0</v>
      </c>
      <c r="L21" s="5376" t="n">
        <f t="shared" ref="L21" si="8">+(J21 / (1-K21))</f>
        <v>0</v>
      </c>
    </row>
    <row r="22" spans="1:16" s="185" customFormat="1" outlineLevel="1" ht="32" customHeight="1">
      <c r="A22" s="5089"/>
      <c r="B22" s="5056"/>
      <c r="C22" s="5476"/>
      <c r="D22" s="5477"/>
      <c r="E22" s="4499"/>
      <c r="F22" s="5080"/>
      <c r="G22" s="4499"/>
      <c r="H22" s="4793"/>
      <c r="I22" s="5433"/>
      <c r="J22" s="5381" t="n">
        <f t="shared" si="5"/>
        <v>0</v>
      </c>
      <c r="K22" s="5425" t="n">
        <f t="shared" si="3"/>
        <v>0</v>
      </c>
      <c r="L22" s="5381" t="n">
        <f t="shared" si="6"/>
        <v>0</v>
      </c>
    </row>
    <row r="23" spans="1:16" ht="32" customHeight="1" outlineLevel="1">
      <c r="A23" s="5084"/>
      <c r="B23" s="5058"/>
      <c r="C23" s="5474"/>
      <c r="D23" s="5475"/>
      <c r="E23" s="4506"/>
      <c r="F23" s="5086"/>
      <c r="G23" s="4506"/>
      <c r="H23" s="4826"/>
      <c r="I23" s="5434"/>
      <c r="J23" s="5376" t="n">
        <f t="shared" si="5"/>
        <v>0</v>
      </c>
      <c r="K23" s="5424" t="n">
        <f t="shared" si="3"/>
        <v>0</v>
      </c>
      <c r="L23" s="5376" t="n">
        <f t="shared" si="6"/>
        <v>0</v>
      </c>
    </row>
    <row r="24" spans="1:16" outlineLevel="1" ht="32" customHeight="1">
      <c r="A24" s="5089"/>
      <c r="B24" s="5056"/>
      <c r="C24" s="5476"/>
      <c r="D24" s="5477"/>
      <c r="E24" s="4499"/>
      <c r="F24" s="5080"/>
      <c r="G24" s="4499"/>
      <c r="H24" s="4793"/>
      <c r="I24" s="5433"/>
      <c r="J24" s="5381" t="n">
        <f>+I24*H24</f>
        <v>0</v>
      </c>
      <c r="K24" s="5425" t="n">
        <f t="shared" si="3"/>
        <v>0</v>
      </c>
      <c r="L24" s="5381" t="n">
        <f>+(J24 / (1-K24))</f>
        <v>0</v>
      </c>
    </row>
    <row r="25" spans="1:16" outlineLevel="1" ht="32" customHeight="1">
      <c r="A25" s="5084"/>
      <c r="B25" s="5058"/>
      <c r="C25" s="5474"/>
      <c r="D25" s="5475"/>
      <c r="E25" s="4506"/>
      <c r="F25" s="5086"/>
      <c r="G25" s="4506"/>
      <c r="H25" s="4826"/>
      <c r="I25" s="5434"/>
      <c r="J25" s="5376" t="n">
        <f t="shared" ref="J25" si="9">+I25*H25</f>
        <v>0</v>
      </c>
      <c r="K25" s="5424" t="n">
        <f t="shared" si="3"/>
        <v>0</v>
      </c>
      <c r="L25" s="5376" t="n">
        <f t="shared" ref="L25" si="10">+(J25 / (1-K25))</f>
        <v>0</v>
      </c>
    </row>
    <row r="26" spans="1:16" outlineLevel="1" ht="32" customHeight="1">
      <c r="A26" s="5420">
        <v>2</v>
      </c>
      <c r="B26" s="5188"/>
      <c r="C26" s="5478" t="str">
        <f>+C3</f>
        <v>Cableado</v>
      </c>
      <c r="D26" s="5479"/>
      <c r="E26" s="5191"/>
      <c r="F26" s="5192"/>
      <c r="G26" s="5191"/>
      <c r="H26" s="5193"/>
      <c r="I26" s="5473"/>
      <c r="J26" s="5421" t="n">
        <f>SUM(J27:J29)</f>
        <v>0</v>
      </c>
      <c r="K26" s="5195"/>
      <c r="L26" s="5421" t="n">
        <f>SUM(L27:L29)</f>
        <v>0</v>
      </c>
      <c r="M26" s="5422" t="n">
        <f>+L26*cotiza</f>
        <v>0</v>
      </c>
    </row>
    <row r="27" spans="1:16" outlineLevel="1" ht="32" customHeight="1">
      <c r="A27" s="5084"/>
      <c r="B27" s="5058"/>
      <c r="C27" s="5530" t="s">
        <v>105</v>
      </c>
      <c r="D27" s="5475"/>
      <c r="E27" s="4506"/>
      <c r="F27" s="4506"/>
      <c r="G27" s="5531" t="s">
        <v>106</v>
      </c>
      <c r="H27" s="5415"/>
      <c r="I27" s="5426"/>
      <c r="J27" s="5376" t="n">
        <f>+I27*H27</f>
        <v>0</v>
      </c>
      <c r="K27" s="5424" t="n">
        <f t="shared" ref="K27:K29" si="11">+mc_mat</f>
        <v>0</v>
      </c>
      <c r="L27" s="5376" t="n">
        <f>+(J27 / (1-K27))</f>
        <v>0</v>
      </c>
    </row>
    <row r="28" spans="1:16" outlineLevel="1" ht="32" customHeight="1">
      <c r="A28" s="5089"/>
      <c r="B28" s="5056"/>
      <c r="C28" s="5532" t="s">
        <v>107</v>
      </c>
      <c r="D28" s="5477"/>
      <c r="E28" s="4499"/>
      <c r="F28" s="4499"/>
      <c r="G28" s="5533" t="s">
        <v>106</v>
      </c>
      <c r="H28" s="5408"/>
      <c r="I28" s="5375"/>
      <c r="J28" s="5381" t="n">
        <f t="shared" ref="J28:J29" si="12">+I28*H28</f>
        <v>0</v>
      </c>
      <c r="K28" s="5425" t="n">
        <f t="shared" si="11"/>
        <v>0</v>
      </c>
      <c r="L28" s="5381" t="n">
        <f t="shared" ref="L28:L29" si="13">+(J28 / (1-K28))</f>
        <v>0</v>
      </c>
    </row>
    <row r="29" spans="1:16" outlineLevel="1" ht="32" customHeight="1">
      <c r="A29" s="5084"/>
      <c r="B29" s="5058"/>
      <c r="C29" s="5480"/>
      <c r="D29" s="5475"/>
      <c r="E29" s="4506"/>
      <c r="F29" s="4506"/>
      <c r="G29" s="4506"/>
      <c r="H29" s="4826"/>
      <c r="I29" s="5436"/>
      <c r="J29" s="5376" t="n">
        <f t="shared" si="12"/>
        <v>0</v>
      </c>
      <c r="K29" s="5424" t="n">
        <f t="shared" si="11"/>
        <v>0</v>
      </c>
      <c r="L29" s="5376" t="n">
        <f t="shared" si="13"/>
        <v>0</v>
      </c>
    </row>
    <row r="30" spans="1:16" outlineLevel="1" ht="32" customHeight="1">
      <c r="A30" s="5420">
        <v>3</v>
      </c>
      <c r="B30" s="5188"/>
      <c r="C30" s="5478" t="str">
        <f>+C4</f>
        <v>Canalizaciones</v>
      </c>
      <c r="D30" s="5479"/>
      <c r="E30" s="5191"/>
      <c r="F30" s="5191"/>
      <c r="G30" s="5191"/>
      <c r="H30" s="5193"/>
      <c r="I30" s="5481"/>
      <c r="J30" s="5421" t="n">
        <f>SUM(J31:J34)</f>
        <v>0</v>
      </c>
      <c r="K30" s="5195"/>
      <c r="L30" s="5421" t="n">
        <f>SUM(L31:L34)</f>
        <v>0</v>
      </c>
      <c r="M30" s="5422" t="n">
        <f>+L30*cotiza</f>
        <v>0</v>
      </c>
    </row>
    <row r="31" spans="1:16" s="185" customFormat="1" outlineLevel="1" ht="32" customHeight="1">
      <c r="A31" s="5084"/>
      <c r="B31" s="5058"/>
      <c r="C31" s="5530" t="s">
        <v>108</v>
      </c>
      <c r="D31" s="5475"/>
      <c r="E31" s="4506"/>
      <c r="F31" s="5096"/>
      <c r="G31" s="5531" t="s">
        <v>109</v>
      </c>
      <c r="H31" s="5415"/>
      <c r="I31" s="5426"/>
      <c r="J31" s="5376" t="n">
        <f t="shared" ref="J31" si="14">+I31*H31</f>
        <v>0</v>
      </c>
      <c r="K31" s="5424" t="n">
        <f t="shared" ref="K31:K34" si="15">+mc_mat</f>
        <v>0</v>
      </c>
      <c r="L31" s="5376" t="n">
        <f t="shared" ref="L31" si="16">+(J31 / (1-K31))</f>
        <v>0</v>
      </c>
    </row>
    <row r="32" spans="1:16" outlineLevel="1" ht="32" customHeight="1">
      <c r="A32" s="5089"/>
      <c r="B32" s="5056"/>
      <c r="C32" s="5532" t="s">
        <v>110</v>
      </c>
      <c r="D32" s="5477"/>
      <c r="E32" s="4499"/>
      <c r="F32" s="5098"/>
      <c r="G32" s="5533" t="s">
        <v>109</v>
      </c>
      <c r="H32" s="5408"/>
      <c r="I32" s="5375"/>
      <c r="J32" s="5381" t="n">
        <f t="shared" ref="J32" si="17">+I32*H32</f>
        <v>0</v>
      </c>
      <c r="K32" s="5425" t="n">
        <f t="shared" si="15"/>
        <v>0</v>
      </c>
      <c r="L32" s="5381" t="n">
        <f t="shared" ref="L32" si="18">+(J32 / (1-K32))</f>
        <v>0</v>
      </c>
    </row>
    <row r="33" spans="1:13" outlineLevel="1" ht="32" customHeight="1">
      <c r="A33" s="5084"/>
      <c r="B33" s="5058"/>
      <c r="C33" s="5530" t="s">
        <v>111</v>
      </c>
      <c r="D33" s="5475"/>
      <c r="E33" s="4506"/>
      <c r="F33" s="5096"/>
      <c r="G33" s="5531" t="s">
        <v>75</v>
      </c>
      <c r="H33" s="5415"/>
      <c r="I33" s="5426"/>
      <c r="J33" s="5376" t="n">
        <f t="shared" ref="J33" si="19">+I33*H33</f>
        <v>0</v>
      </c>
      <c r="K33" s="5424" t="n">
        <f t="shared" si="15"/>
        <v>0</v>
      </c>
      <c r="L33" s="5376" t="n">
        <f t="shared" ref="L33" si="20">+(J33 / (1-K33))</f>
        <v>0</v>
      </c>
    </row>
    <row r="34" spans="1:13" outlineLevel="1" ht="32" customHeight="1">
      <c r="A34" s="5089"/>
      <c r="B34" s="5056"/>
      <c r="C34" s="5476"/>
      <c r="D34" s="5477"/>
      <c r="E34" s="4500"/>
      <c r="F34" s="5098"/>
      <c r="G34" s="4499"/>
      <c r="H34" s="4793"/>
      <c r="I34" s="5435"/>
      <c r="J34" s="5381" t="n">
        <f t="shared" ref="J34" si="21">+I34*H34</f>
        <v>0</v>
      </c>
      <c r="K34" s="5425" t="n">
        <f t="shared" si="15"/>
        <v>0</v>
      </c>
      <c r="L34" s="5381" t="n">
        <f t="shared" ref="L34" si="22">+(J34 / (1-K34))</f>
        <v>0</v>
      </c>
    </row>
    <row r="35" spans="1:13" outlineLevel="1" ht="32" customHeight="1">
      <c r="A35" s="5420">
        <v>4</v>
      </c>
      <c r="B35" s="5188"/>
      <c r="C35" s="5482" t="str">
        <f>+C5</f>
        <v>Terminales</v>
      </c>
      <c r="D35" s="5479"/>
      <c r="E35" s="5191"/>
      <c r="F35" s="5191"/>
      <c r="G35" s="5191"/>
      <c r="H35" s="5193"/>
      <c r="I35" s="5473"/>
      <c r="J35" s="5421" t="n">
        <f>SUM(J36:J42)</f>
        <v>0</v>
      </c>
      <c r="K35" s="5195"/>
      <c r="L35" s="5421" t="n">
        <f>SUM(L36:L42)</f>
        <v>0</v>
      </c>
      <c r="M35" s="5422" t="n">
        <f>+L35*cotiza</f>
        <v>0</v>
      </c>
    </row>
    <row r="36" spans="1:13" outlineLevel="1" ht="32" customHeight="1">
      <c r="A36" s="5078"/>
      <c r="B36" s="5079"/>
      <c r="C36" s="5532" t="s">
        <v>112</v>
      </c>
      <c r="D36" s="5477"/>
      <c r="E36" s="4499"/>
      <c r="F36" s="5080"/>
      <c r="G36" s="5533" t="s">
        <v>75</v>
      </c>
      <c r="H36" s="5408"/>
      <c r="I36" s="5375"/>
      <c r="J36" s="5381" t="n">
        <f>+I36*H36</f>
        <v>0</v>
      </c>
      <c r="K36" s="5425" t="n">
        <f t="shared" ref="K36:K42" si="23">+mc_mat</f>
        <v>0</v>
      </c>
      <c r="L36" s="5381" t="n">
        <f>+(J36 / (1-K36))</f>
        <v>0</v>
      </c>
      <c r="M36" s="5483"/>
    </row>
    <row r="37" spans="1:13" outlineLevel="1" ht="32" customHeight="1">
      <c r="A37" s="5102"/>
      <c r="B37" s="5103"/>
      <c r="C37" s="5530" t="s">
        <v>113</v>
      </c>
      <c r="D37" s="5475"/>
      <c r="E37" s="4506"/>
      <c r="F37" s="5086"/>
      <c r="G37" s="5531" t="s">
        <v>75</v>
      </c>
      <c r="H37" s="5415"/>
      <c r="I37" s="5426"/>
      <c r="J37" s="5376" t="n">
        <f t="shared" ref="J37:J38" si="24">+I37*H37</f>
        <v>0</v>
      </c>
      <c r="K37" s="5424" t="n">
        <f t="shared" si="23"/>
        <v>0</v>
      </c>
      <c r="L37" s="5376" t="n">
        <f t="shared" ref="L37:L38" si="25">+(J37 / (1-K37))</f>
        <v>0</v>
      </c>
      <c r="M37" s="5484"/>
    </row>
    <row r="38" spans="1:13" outlineLevel="1" ht="32" customHeight="1">
      <c r="A38" s="5078"/>
      <c r="B38" s="5079"/>
      <c r="C38" s="5532" t="s">
        <v>114</v>
      </c>
      <c r="D38" s="5477"/>
      <c r="E38" s="4499"/>
      <c r="F38" s="5080"/>
      <c r="G38" s="5533" t="s">
        <v>75</v>
      </c>
      <c r="H38" s="5408"/>
      <c r="I38" s="5375"/>
      <c r="J38" s="5381" t="n">
        <f t="shared" si="24"/>
        <v>0</v>
      </c>
      <c r="K38" s="5425" t="n">
        <f t="shared" si="23"/>
        <v>0</v>
      </c>
      <c r="L38" s="5381" t="n">
        <f t="shared" si="25"/>
        <v>0</v>
      </c>
      <c r="M38" s="5483"/>
    </row>
    <row r="39" spans="1:13" outlineLevel="1" ht="32" customHeight="1">
      <c r="A39" s="5102"/>
      <c r="B39" s="5103"/>
      <c r="C39" s="5530" t="s">
        <v>115</v>
      </c>
      <c r="D39" s="5475"/>
      <c r="E39" s="4506"/>
      <c r="F39" s="5086"/>
      <c r="G39" s="5531" t="s">
        <v>75</v>
      </c>
      <c r="H39" s="5415"/>
      <c r="I39" s="5426"/>
      <c r="J39" s="5376" t="n">
        <f t="shared" ref="J39" si="26">+I39*H39</f>
        <v>0</v>
      </c>
      <c r="K39" s="5424" t="n">
        <f t="shared" si="23"/>
        <v>0</v>
      </c>
      <c r="L39" s="5376" t="n">
        <f t="shared" ref="L39" si="27">+(J39 / (1-K39))</f>
        <v>0</v>
      </c>
      <c r="M39" s="5484"/>
    </row>
    <row r="40" spans="1:13" outlineLevel="1" ht="32" customHeight="1">
      <c r="A40" s="5078"/>
      <c r="B40" s="5079"/>
      <c r="C40" s="5476"/>
      <c r="D40" s="5477"/>
      <c r="E40" s="4499"/>
      <c r="F40" s="5080"/>
      <c r="G40" s="4499"/>
      <c r="H40" s="4793"/>
      <c r="I40" s="5435"/>
      <c r="J40" s="5381" t="n">
        <f t="shared" ref="J40:J41" si="28">+I40*H40</f>
        <v>0</v>
      </c>
      <c r="K40" s="5425" t="n">
        <f t="shared" si="23"/>
        <v>0</v>
      </c>
      <c r="L40" s="5381" t="n">
        <f t="shared" ref="L40:L41" si="29">+(J40 / (1-K40))</f>
        <v>0</v>
      </c>
      <c r="M40" s="5483"/>
    </row>
    <row r="41" spans="1:13" outlineLevel="1" ht="32" customHeight="1">
      <c r="A41" s="5102"/>
      <c r="B41" s="5103"/>
      <c r="C41" s="5474"/>
      <c r="D41" s="5475"/>
      <c r="E41" s="4506"/>
      <c r="F41" s="5086"/>
      <c r="G41" s="4506"/>
      <c r="H41" s="4826"/>
      <c r="I41" s="5436"/>
      <c r="J41" s="5376" t="n">
        <f t="shared" si="28"/>
        <v>0</v>
      </c>
      <c r="K41" s="5424" t="n">
        <f t="shared" si="23"/>
        <v>0</v>
      </c>
      <c r="L41" s="5376" t="n">
        <f t="shared" si="29"/>
        <v>0</v>
      </c>
      <c r="M41" s="5484"/>
    </row>
    <row r="42" spans="1:13" outlineLevel="1" ht="32" customHeight="1">
      <c r="A42" s="5078"/>
      <c r="B42" s="5079"/>
      <c r="C42" s="5476"/>
      <c r="D42" s="5477"/>
      <c r="E42" s="4499"/>
      <c r="F42" s="5080"/>
      <c r="G42" s="4499"/>
      <c r="H42" s="4793"/>
      <c r="I42" s="5435"/>
      <c r="J42" s="5381" t="n">
        <f>+I42*H42</f>
        <v>0</v>
      </c>
      <c r="K42" s="5425" t="n">
        <f t="shared" si="23"/>
        <v>0</v>
      </c>
      <c r="L42" s="5381" t="n">
        <f>+(J42 / (1-K42))</f>
        <v>0</v>
      </c>
      <c r="M42" s="5483"/>
    </row>
    <row r="43" spans="1:13" outlineLevel="1" ht="32" customHeight="1">
      <c r="A43" s="5420">
        <v>5</v>
      </c>
      <c r="B43" s="5188"/>
      <c r="C43" s="5478" t="str">
        <f>+C6</f>
        <v>Equipos Activos</v>
      </c>
      <c r="D43" s="5479"/>
      <c r="E43" s="5191"/>
      <c r="F43" s="5191"/>
      <c r="G43" s="5191"/>
      <c r="H43" s="5193"/>
      <c r="I43" s="5473"/>
      <c r="J43" s="5421" t="n">
        <f>SUM(J44:J48)</f>
        <v>0</v>
      </c>
      <c r="K43" s="5195"/>
      <c r="L43" s="5421" t="n">
        <f>SUM(L44:L48)</f>
        <v>0</v>
      </c>
      <c r="M43" s="5485"/>
    </row>
    <row r="44" spans="1:13" outlineLevel="1" ht="32" customHeight="1">
      <c r="A44" s="5089"/>
      <c r="B44" s="5056"/>
      <c r="C44" s="5476"/>
      <c r="D44" s="5477"/>
      <c r="E44" s="4499"/>
      <c r="F44" s="4499"/>
      <c r="G44" s="4499"/>
      <c r="H44" s="4793"/>
      <c r="I44" s="5435"/>
      <c r="J44" s="5381" t="n">
        <f>+I44*H44</f>
        <v>0</v>
      </c>
      <c r="K44" s="5425" t="n">
        <f>+mc_mat</f>
        <v>0</v>
      </c>
      <c r="L44" s="5381" t="n">
        <f>+(J44 / (1-K44))</f>
        <v>0</v>
      </c>
    </row>
    <row r="45" spans="1:13" outlineLevel="1" ht="32" customHeight="1">
      <c r="A45" s="5084"/>
      <c r="B45" s="5058"/>
      <c r="C45" s="5474"/>
      <c r="D45" s="5475"/>
      <c r="E45" s="4506"/>
      <c r="F45" s="5486"/>
      <c r="G45" s="4506"/>
      <c r="H45" s="4826"/>
      <c r="I45" s="5436"/>
      <c r="J45" s="5376" t="n">
        <f>+I45*H45</f>
        <v>0</v>
      </c>
      <c r="K45" s="5424" t="n">
        <f>+mc_mat</f>
        <v>0</v>
      </c>
      <c r="L45" s="5376" t="n">
        <f>+(J45 / (1-K45))</f>
        <v>0</v>
      </c>
    </row>
    <row r="46" spans="1:13" outlineLevel="1" ht="32" customHeight="1">
      <c r="A46" s="5089"/>
      <c r="B46" s="5056"/>
      <c r="C46" s="5476"/>
      <c r="D46" s="5477"/>
      <c r="E46" s="4499"/>
      <c r="F46" s="4499"/>
      <c r="G46" s="4499"/>
      <c r="H46" s="4793"/>
      <c r="I46" s="5435"/>
      <c r="J46" s="5381" t="n">
        <f>+I46*H46</f>
        <v>0</v>
      </c>
      <c r="K46" s="5425" t="n">
        <f>+mc_mat</f>
        <v>0</v>
      </c>
      <c r="L46" s="5381" t="n">
        <f>+(J46 / (1-K46))</f>
        <v>0</v>
      </c>
    </row>
    <row r="47" spans="1:13" outlineLevel="1" ht="32" customHeight="1">
      <c r="A47" s="5084"/>
      <c r="B47" s="5058"/>
      <c r="C47" s="5480"/>
      <c r="D47" s="5475"/>
      <c r="E47" s="4506"/>
      <c r="F47" s="4506"/>
      <c r="G47" s="4506"/>
      <c r="H47" s="4826"/>
      <c r="I47" s="5436"/>
      <c r="J47" s="5376" t="n">
        <f>+I47*H47</f>
        <v>0</v>
      </c>
      <c r="K47" s="5424" t="n">
        <f>+mc_mat</f>
        <v>0</v>
      </c>
      <c r="L47" s="5376" t="n">
        <f>+(J47 / (1-K47))</f>
        <v>0</v>
      </c>
    </row>
    <row r="48" spans="1:13" outlineLevel="1" ht="32" customHeight="1">
      <c r="A48" s="5089"/>
      <c r="B48" s="5056"/>
      <c r="C48" s="5487"/>
      <c r="D48" s="5477"/>
      <c r="E48" s="4499"/>
      <c r="F48" s="4499"/>
      <c r="G48" s="4499"/>
      <c r="H48" s="4793"/>
      <c r="I48" s="5435"/>
      <c r="J48" s="5381" t="n">
        <f>+I48*H48</f>
        <v>0</v>
      </c>
      <c r="K48" s="5425" t="n">
        <f>+mc_mat</f>
        <v>0</v>
      </c>
      <c r="L48" s="5381" t="n">
        <f>+(J48 / (1-K48))</f>
        <v>0</v>
      </c>
    </row>
    <row r="49" spans="1:13" outlineLevel="1" ht="32" customHeight="1">
      <c r="A49" s="5420">
        <v>6</v>
      </c>
      <c r="B49" s="5188"/>
      <c r="C49" s="5488" t="str">
        <f>+C7</f>
        <v>Accesorios</v>
      </c>
      <c r="D49" s="5479"/>
      <c r="E49" s="5191"/>
      <c r="F49" s="5191"/>
      <c r="G49" s="5191"/>
      <c r="H49" s="5193"/>
      <c r="I49" s="5473"/>
      <c r="J49" s="5421" t="n">
        <f>SUM(J50:J57)</f>
        <v>0</v>
      </c>
      <c r="K49" s="5195"/>
      <c r="L49" s="5421" t="n">
        <f>SUM(L50:L57)</f>
        <v>0</v>
      </c>
      <c r="M49" s="5485"/>
    </row>
    <row r="50" spans="1:13" outlineLevel="1" ht="32" customHeight="1">
      <c r="A50" s="5078"/>
      <c r="B50" s="5079"/>
      <c r="C50" s="5534" t="s">
        <v>116</v>
      </c>
      <c r="D50" s="5477"/>
      <c r="E50" s="4499"/>
      <c r="F50" s="5477"/>
      <c r="G50" s="5533" t="s">
        <v>109</v>
      </c>
      <c r="H50" s="5408"/>
      <c r="I50" s="5375"/>
      <c r="J50" s="5381" t="n">
        <f>+I50*H50</f>
        <v>0</v>
      </c>
      <c r="K50" s="5425" t="n">
        <f t="shared" ref="K50:K57" si="30">+mc_mat</f>
        <v>0</v>
      </c>
      <c r="L50" s="5381" t="n">
        <f>+(J50 / (1-K50))</f>
        <v>0</v>
      </c>
      <c r="M50" s="5438"/>
    </row>
    <row r="51" spans="1:13" s="185" customFormat="1" outlineLevel="1" ht="32" customHeight="1">
      <c r="A51" s="5102"/>
      <c r="B51" s="5103"/>
      <c r="C51" s="5535" t="s">
        <v>117</v>
      </c>
      <c r="D51" s="5475"/>
      <c r="E51" s="4506"/>
      <c r="F51" s="5475"/>
      <c r="G51" s="5531" t="s">
        <v>109</v>
      </c>
      <c r="H51" s="5415"/>
      <c r="I51" s="5426"/>
      <c r="J51" s="5376" t="n">
        <f>+I51*H51</f>
        <v>0</v>
      </c>
      <c r="K51" s="5424" t="n">
        <f t="shared" si="30"/>
        <v>0</v>
      </c>
      <c r="L51" s="5376" t="n">
        <f>+(J51 / (1-K51))</f>
        <v>0</v>
      </c>
      <c r="M51" s="5491"/>
    </row>
    <row r="52" spans="1:13" outlineLevel="1" ht="32" customHeight="1">
      <c r="A52" s="5078"/>
      <c r="B52" s="5079"/>
      <c r="C52" s="5534" t="s">
        <v>118</v>
      </c>
      <c r="D52" s="5477"/>
      <c r="E52" s="5080"/>
      <c r="F52" s="5080"/>
      <c r="G52" s="5533" t="s">
        <v>75</v>
      </c>
      <c r="H52" s="5408"/>
      <c r="I52" s="5375"/>
      <c r="J52" s="5381" t="n">
        <f t="shared" ref="J52" si="31">+I52*H52</f>
        <v>0</v>
      </c>
      <c r="K52" s="5425" t="n">
        <f t="shared" si="30"/>
        <v>0</v>
      </c>
      <c r="L52" s="5381" t="n">
        <f t="shared" ref="L52" si="32">+(J52 / (1-K52))</f>
        <v>0</v>
      </c>
      <c r="M52" s="5438"/>
    </row>
    <row r="53" spans="1:13" outlineLevel="1" ht="32" customHeight="1">
      <c r="A53" s="5102"/>
      <c r="B53" s="5103"/>
      <c r="C53" s="5535" t="s">
        <v>119</v>
      </c>
      <c r="D53" s="5475"/>
      <c r="E53" s="5086"/>
      <c r="F53" s="5086"/>
      <c r="G53" s="5531" t="s">
        <v>75</v>
      </c>
      <c r="H53" s="5415"/>
      <c r="I53" s="5426"/>
      <c r="J53" s="5376" t="n">
        <f t="shared" ref="J53:J57" si="33">+I53*H53</f>
        <v>0</v>
      </c>
      <c r="K53" s="5424" t="n">
        <f t="shared" si="30"/>
        <v>0</v>
      </c>
      <c r="L53" s="5376" t="n">
        <f t="shared" ref="L53:L57" si="34">+(J53 / (1-K53))</f>
        <v>0</v>
      </c>
      <c r="M53" s="5491"/>
    </row>
    <row r="54" spans="1:13" outlineLevel="1" ht="32" customHeight="1">
      <c r="A54" s="5078"/>
      <c r="B54" s="5079"/>
      <c r="C54" s="5534" t="s">
        <v>120</v>
      </c>
      <c r="D54" s="5477"/>
      <c r="E54" s="4499"/>
      <c r="F54" s="5080"/>
      <c r="G54" s="5533" t="s">
        <v>75</v>
      </c>
      <c r="H54" s="5408"/>
      <c r="I54" s="5427"/>
      <c r="J54" s="5381" t="n">
        <f t="shared" ref="J54" si="35">+I54*H54</f>
        <v>0</v>
      </c>
      <c r="K54" s="5425" t="n">
        <f t="shared" si="30"/>
        <v>0</v>
      </c>
      <c r="L54" s="5381" t="n">
        <f t="shared" ref="L54" si="36">+(J54 / (1-K54))</f>
        <v>0</v>
      </c>
      <c r="M54" s="5438"/>
    </row>
    <row r="55" spans="1:13" outlineLevel="1" ht="32" customHeight="1">
      <c r="A55" s="5102"/>
      <c r="B55" s="5103"/>
      <c r="C55" s="5535" t="s">
        <v>121</v>
      </c>
      <c r="D55" s="5475"/>
      <c r="E55" s="5086"/>
      <c r="F55" s="5086"/>
      <c r="G55" s="5531" t="s">
        <v>75</v>
      </c>
      <c r="H55" s="5415"/>
      <c r="I55" s="5426"/>
      <c r="J55" s="5376" t="n">
        <f t="shared" si="33"/>
        <v>0</v>
      </c>
      <c r="K55" s="5424" t="n">
        <f t="shared" si="30"/>
        <v>0</v>
      </c>
      <c r="L55" s="5376" t="n">
        <f t="shared" si="34"/>
        <v>0</v>
      </c>
      <c r="M55" s="5491"/>
    </row>
    <row r="56" spans="1:13" outlineLevel="1" ht="32" customHeight="1">
      <c r="A56" s="5078"/>
      <c r="B56" s="5079"/>
      <c r="C56" s="5534" t="s">
        <v>121</v>
      </c>
      <c r="D56" s="5477"/>
      <c r="E56" s="5080"/>
      <c r="F56" s="5080"/>
      <c r="G56" s="5533" t="s">
        <v>75</v>
      </c>
      <c r="H56" s="5408"/>
      <c r="I56" s="5375"/>
      <c r="J56" s="5381" t="n">
        <f t="shared" ref="J56" si="37">+I56*H56</f>
        <v>0</v>
      </c>
      <c r="K56" s="5425" t="n">
        <f t="shared" si="30"/>
        <v>0</v>
      </c>
      <c r="L56" s="5381" t="n">
        <f t="shared" ref="L56" si="38">+(J56 / (1-K56))</f>
        <v>0</v>
      </c>
      <c r="M56" s="5438"/>
    </row>
    <row r="57" spans="1:13" outlineLevel="1" ht="32" customHeight="1">
      <c r="A57" s="5102"/>
      <c r="B57" s="5103"/>
      <c r="C57" s="5535" t="s">
        <v>122</v>
      </c>
      <c r="D57" s="5475"/>
      <c r="E57" s="4506"/>
      <c r="F57" s="5475"/>
      <c r="G57" s="5531" t="s">
        <v>75</v>
      </c>
      <c r="H57" s="5415"/>
      <c r="I57" s="5426"/>
      <c r="J57" s="5376" t="n">
        <f t="shared" si="33"/>
        <v>0</v>
      </c>
      <c r="K57" s="5424" t="n">
        <f t="shared" si="30"/>
        <v>0</v>
      </c>
      <c r="L57" s="5376" t="n">
        <f t="shared" si="34"/>
        <v>0</v>
      </c>
      <c r="M57" s="5491"/>
    </row>
    <row r="58" spans="1:13" outlineLevel="1" ht="32" customHeight="1">
      <c r="A58" s="5420">
        <v>7</v>
      </c>
      <c r="B58" s="5188"/>
      <c r="C58" s="5488" t="str">
        <f>+C8</f>
        <v>Consumibles</v>
      </c>
      <c r="D58" s="5479"/>
      <c r="E58" s="5191"/>
      <c r="F58" s="5191"/>
      <c r="G58" s="5191"/>
      <c r="H58" s="5193"/>
      <c r="I58" s="5473"/>
      <c r="J58" s="5421" t="n">
        <f>SUM(J59:J61)</f>
        <v>0</v>
      </c>
      <c r="K58" s="5195"/>
      <c r="L58" s="5421" t="n">
        <f>SUM(L59:L61)</f>
        <v>0</v>
      </c>
      <c r="M58" s="5422" t="n">
        <f>+L58*cotiza</f>
        <v>0</v>
      </c>
    </row>
    <row r="59" spans="1:13" outlineLevel="1" ht="32" customHeight="1">
      <c r="A59" s="4826"/>
      <c r="B59" s="4506"/>
      <c r="C59" s="5536" t="s">
        <v>123</v>
      </c>
      <c r="D59" s="5475"/>
      <c r="E59" s="4506"/>
      <c r="F59" s="4506"/>
      <c r="G59" s="5531" t="s">
        <v>124</v>
      </c>
      <c r="H59" s="5415"/>
      <c r="I59" s="5376" t="n">
        <f>+(J30+J35+J18+J26+J49)*0.1</f>
        <v>0</v>
      </c>
      <c r="J59" s="5376" t="n">
        <f>+I59*H59</f>
        <v>0</v>
      </c>
      <c r="K59" s="5424" t="n">
        <f>+mc_mat</f>
        <v>0</v>
      </c>
      <c r="L59" s="5376" t="n">
        <f>+(J59 / (1-K59))</f>
        <v>0</v>
      </c>
    </row>
    <row r="60" spans="1:13" outlineLevel="1" ht="32" customHeight="1">
      <c r="A60" s="4793"/>
      <c r="B60" s="4499"/>
      <c r="C60" s="5493"/>
      <c r="D60" s="5433"/>
      <c r="E60" s="4499"/>
      <c r="F60" s="4499"/>
      <c r="G60" s="4499"/>
      <c r="H60" s="4793"/>
      <c r="I60" s="5435"/>
      <c r="J60" s="5381" t="n">
        <f>+I60*H60</f>
        <v>0</v>
      </c>
      <c r="K60" s="5425" t="n">
        <f>+mc_mat</f>
        <v>0</v>
      </c>
      <c r="L60" s="5381" t="n">
        <f>+(J60 / (1-K60))</f>
        <v>0</v>
      </c>
    </row>
    <row r="61" spans="1:13" outlineLevel="1" ht="32" customHeight="1">
      <c r="A61" s="4826"/>
      <c r="B61" s="4506"/>
      <c r="C61" s="5492"/>
      <c r="D61" s="5434"/>
      <c r="E61" s="4506"/>
      <c r="F61" s="4506"/>
      <c r="G61" s="4506"/>
      <c r="H61" s="4826"/>
      <c r="I61" s="5436"/>
      <c r="J61" s="5376" t="n">
        <f>+I61*H61</f>
        <v>0</v>
      </c>
      <c r="K61" s="5424" t="n">
        <f>+mc_mat</f>
        <v>0</v>
      </c>
      <c r="L61" s="5376" t="n">
        <f>+(J61 / (1-K61))</f>
        <v>0</v>
      </c>
    </row>
    <row r="62" spans="1:13" outlineLevel="1" ht="32" customHeight="1">
      <c r="A62" s="5420">
        <v>8</v>
      </c>
      <c r="B62" s="5188"/>
      <c r="C62" s="5471" t="str">
        <f>+C9</f>
        <v>Ingeniería</v>
      </c>
      <c r="D62" s="5472"/>
      <c r="E62" s="5191"/>
      <c r="F62" s="5191"/>
      <c r="G62" s="5191"/>
      <c r="H62" s="5193"/>
      <c r="I62" s="5473"/>
      <c r="J62" s="5421" t="n">
        <f>SUM(J63:J66)</f>
        <v>0</v>
      </c>
      <c r="K62" s="5195"/>
      <c r="L62" s="5421" t="n">
        <f>SUM(L63:L66)</f>
        <v>0</v>
      </c>
      <c r="M62" s="5422" t="n">
        <f>+L62*cotiza</f>
        <v>0</v>
      </c>
    </row>
    <row r="63" spans="1:13" outlineLevel="1" ht="32" customHeight="1">
      <c r="A63" s="4826"/>
      <c r="B63" s="4506"/>
      <c r="C63" s="5530" t="s">
        <v>125</v>
      </c>
      <c r="D63" s="5434"/>
      <c r="E63" s="4506"/>
      <c r="F63" s="4506"/>
      <c r="G63" s="5531" t="s">
        <v>8</v>
      </c>
      <c r="H63" s="5415"/>
      <c r="I63" s="5376" t="n">
        <f>+DH</f>
        <v>0</v>
      </c>
      <c r="J63" s="5376" t="n">
        <f>+I63*H63</f>
        <v>0</v>
      </c>
      <c r="K63" s="5424" t="n">
        <f>+mc_ser</f>
        <v>0</v>
      </c>
      <c r="L63" s="5376" t="n">
        <f>+(J63 / (1-K63))</f>
        <v>0</v>
      </c>
    </row>
    <row r="64" spans="1:13" outlineLevel="1" ht="32" customHeight="1">
      <c r="A64" s="4793"/>
      <c r="B64" s="4499"/>
      <c r="C64" s="5532" t="s">
        <v>126</v>
      </c>
      <c r="D64" s="5433"/>
      <c r="E64" s="4499"/>
      <c r="F64" s="4499"/>
      <c r="G64" s="5533" t="s">
        <v>8</v>
      </c>
      <c r="H64" s="5408"/>
      <c r="I64" s="5381" t="n">
        <f>+DH</f>
        <v>0</v>
      </c>
      <c r="J64" s="5381" t="n">
        <f>+I64*H64</f>
        <v>0</v>
      </c>
      <c r="K64" s="5425" t="n">
        <f>+mc_ser</f>
        <v>0</v>
      </c>
      <c r="L64" s="5381" t="n">
        <f>+(J64 / (1-K64))</f>
        <v>0</v>
      </c>
    </row>
    <row r="65" spans="1:13" outlineLevel="1" ht="32" customHeight="1">
      <c r="A65" s="4826"/>
      <c r="B65" s="4506"/>
      <c r="C65" s="5530" t="s">
        <v>127</v>
      </c>
      <c r="D65" s="5434"/>
      <c r="E65" s="4506"/>
      <c r="F65" s="4506"/>
      <c r="G65" s="5531" t="s">
        <v>8</v>
      </c>
      <c r="H65" s="5415"/>
      <c r="I65" s="5376" t="n">
        <f>+DH</f>
        <v>0</v>
      </c>
      <c r="J65" s="5376" t="n">
        <f>+I65*H65</f>
        <v>0</v>
      </c>
      <c r="K65" s="5424" t="n">
        <f>+mc_ser</f>
        <v>0</v>
      </c>
      <c r="L65" s="5376" t="n">
        <f>+(J65 / (1-K65))</f>
        <v>0</v>
      </c>
    </row>
    <row r="66" spans="1:13" outlineLevel="1" ht="32" customHeight="1">
      <c r="A66" s="4793"/>
      <c r="B66" s="4499"/>
      <c r="C66" s="5532" t="s">
        <v>128</v>
      </c>
      <c r="D66" s="5433"/>
      <c r="E66" s="4499"/>
      <c r="F66" s="4499"/>
      <c r="G66" s="5533" t="s">
        <v>8</v>
      </c>
      <c r="H66" s="5408"/>
      <c r="I66" s="5381" t="n">
        <f>+DH</f>
        <v>0</v>
      </c>
      <c r="J66" s="5381" t="n">
        <f>+I66*H66</f>
        <v>0</v>
      </c>
      <c r="K66" s="5425" t="n">
        <f>+mc_ser</f>
        <v>0</v>
      </c>
      <c r="L66" s="5381" t="n">
        <f>+(J66 / (1-K66))</f>
        <v>0</v>
      </c>
    </row>
    <row r="67" spans="1:13" ht="32" customHeight="1" outlineLevel="1">
      <c r="A67" s="5420">
        <v>9</v>
      </c>
      <c r="B67" s="5188"/>
      <c r="C67" s="5488" t="str">
        <f>+C10</f>
        <v>Instalaciones y Montajes</v>
      </c>
      <c r="D67" s="5428" t="n">
        <f>+(+H68+H70+H79+H86+H71+H72+H73+H69)</f>
        <v>0</v>
      </c>
      <c r="E67" s="5428" t="n">
        <f>ROUNDUP(+(D67)/4,0)</f>
        <v>0</v>
      </c>
      <c r="F67" s="5193"/>
      <c r="G67" s="5193"/>
      <c r="H67" s="5193"/>
      <c r="I67" s="5473"/>
      <c r="J67" s="5421" t="n">
        <f>SUM(J68:J73)</f>
        <v>0</v>
      </c>
      <c r="K67" s="5195"/>
      <c r="L67" s="5421" t="n">
        <f>SUM(L68:L73)</f>
        <v>0</v>
      </c>
      <c r="M67" s="5422" t="n">
        <f>+L67*cotiza</f>
        <v>0</v>
      </c>
    </row>
    <row r="68" spans="1:13" outlineLevel="1" ht="32" customHeight="1">
      <c r="A68" s="5089"/>
      <c r="B68" s="5056"/>
      <c r="C68" s="5532" t="s">
        <v>129</v>
      </c>
      <c r="D68" s="5433"/>
      <c r="E68" s="4499"/>
      <c r="F68" s="4499"/>
      <c r="G68" s="5533" t="s">
        <v>8</v>
      </c>
      <c r="H68" s="5408"/>
      <c r="I68" s="5381" t="n">
        <f t="shared" ref="I68:I71" si="39">+DH</f>
        <v>0</v>
      </c>
      <c r="J68" s="5381" t="n">
        <f>+I68*H68</f>
        <v>0</v>
      </c>
      <c r="K68" s="5425" t="n">
        <f t="shared" ref="K68:K73" si="40">+mc_ser</f>
        <v>0</v>
      </c>
      <c r="L68" s="5381" t="n">
        <f>+(J68 / (1-K68))</f>
        <v>0</v>
      </c>
      <c r="M68" s="5438"/>
    </row>
    <row r="69" spans="1:13" outlineLevel="1" ht="32" customHeight="1">
      <c r="A69" s="5084"/>
      <c r="B69" s="5058"/>
      <c r="C69" s="5530" t="s">
        <v>130</v>
      </c>
      <c r="D69" s="5415"/>
      <c r="E69" s="4506"/>
      <c r="F69" s="4506"/>
      <c r="G69" s="5531" t="s">
        <v>8</v>
      </c>
      <c r="H69" s="5429" t="n">
        <f>+D69*2.5</f>
        <v>0</v>
      </c>
      <c r="I69" s="5376" t="n">
        <f t="shared" si="39"/>
        <v>0</v>
      </c>
      <c r="J69" s="5376" t="n">
        <f>+I69*H69</f>
        <v>0</v>
      </c>
      <c r="K69" s="5424" t="n">
        <f t="shared" si="40"/>
        <v>0</v>
      </c>
      <c r="L69" s="5376" t="n">
        <f>+(J69 / (1-K69))</f>
        <v>0</v>
      </c>
      <c r="M69" s="5491"/>
    </row>
    <row r="70" spans="1:13" outlineLevel="1" ht="32" customHeight="1">
      <c r="A70" s="5089"/>
      <c r="B70" s="5056"/>
      <c r="C70" s="5532" t="s">
        <v>131</v>
      </c>
      <c r="D70" s="5408"/>
      <c r="E70" s="4499"/>
      <c r="F70" s="4499"/>
      <c r="G70" s="5533" t="s">
        <v>8</v>
      </c>
      <c r="H70" s="5430" t="n">
        <f>+D70*1.5</f>
        <v>0</v>
      </c>
      <c r="I70" s="5381" t="n">
        <f t="shared" si="39"/>
        <v>0</v>
      </c>
      <c r="J70" s="5381" t="n">
        <f t="shared" ref="J70:J73" si="41">+I70*H70</f>
        <v>0</v>
      </c>
      <c r="K70" s="5425" t="n">
        <f t="shared" si="40"/>
        <v>0</v>
      </c>
      <c r="L70" s="5381" t="n">
        <f t="shared" ref="L70:L73" si="42">+(J70 / (1-K70))</f>
        <v>0</v>
      </c>
      <c r="M70" s="5438"/>
    </row>
    <row r="71" spans="1:13" outlineLevel="1" ht="32" customHeight="1">
      <c r="A71" s="5084"/>
      <c r="B71" s="5058"/>
      <c r="C71" s="5530" t="s">
        <v>132</v>
      </c>
      <c r="D71" s="5415"/>
      <c r="E71" s="4506"/>
      <c r="F71" s="4506"/>
      <c r="G71" s="5531" t="s">
        <v>8</v>
      </c>
      <c r="H71" s="5429" t="n">
        <f>+D71*1</f>
        <v>0</v>
      </c>
      <c r="I71" s="5376" t="n">
        <f t="shared" si="39"/>
        <v>0</v>
      </c>
      <c r="J71" s="5376" t="n">
        <f t="shared" si="41"/>
        <v>0</v>
      </c>
      <c r="K71" s="5424" t="n">
        <f t="shared" si="40"/>
        <v>0</v>
      </c>
      <c r="L71" s="5376" t="n">
        <f t="shared" si="42"/>
        <v>0</v>
      </c>
      <c r="M71" s="5491"/>
    </row>
    <row r="72" spans="1:13" outlineLevel="1" ht="32" customHeight="1">
      <c r="A72" s="5089"/>
      <c r="B72" s="5056"/>
      <c r="C72" s="5476"/>
      <c r="D72" s="5433"/>
      <c r="E72" s="4499"/>
      <c r="F72" s="4499"/>
      <c r="G72" s="4499"/>
      <c r="H72" s="4793"/>
      <c r="I72" s="5435"/>
      <c r="J72" s="5381" t="n">
        <f t="shared" si="41"/>
        <v>0</v>
      </c>
      <c r="K72" s="5425" t="n">
        <f t="shared" si="40"/>
        <v>0</v>
      </c>
      <c r="L72" s="5381" t="n">
        <f t="shared" si="42"/>
        <v>0</v>
      </c>
      <c r="M72" s="5438"/>
    </row>
    <row r="73" spans="1:13" outlineLevel="1" ht="32" customHeight="1">
      <c r="A73" s="5084"/>
      <c r="B73" s="5058"/>
      <c r="C73" s="5474"/>
      <c r="D73" s="5434"/>
      <c r="E73" s="4506"/>
      <c r="F73" s="4506"/>
      <c r="G73" s="4506"/>
      <c r="H73" s="4826"/>
      <c r="I73" s="5436"/>
      <c r="J73" s="5376" t="n">
        <f t="shared" si="41"/>
        <v>0</v>
      </c>
      <c r="K73" s="5424" t="n">
        <f t="shared" si="40"/>
        <v>0</v>
      </c>
      <c r="L73" s="5376" t="n">
        <f t="shared" si="42"/>
        <v>0</v>
      </c>
      <c r="M73" s="5491"/>
    </row>
    <row r="74" spans="1:13" outlineLevel="1" ht="32" customHeight="1">
      <c r="A74" s="5420">
        <v>10</v>
      </c>
      <c r="B74" s="5188"/>
      <c r="C74" s="5488" t="str">
        <f>+C11</f>
        <v>Tendidos</v>
      </c>
      <c r="D74" s="5472"/>
      <c r="E74" s="5191"/>
      <c r="F74" s="5191"/>
      <c r="G74" s="5191"/>
      <c r="H74" s="5193"/>
      <c r="I74" s="5473"/>
      <c r="J74" s="5421" t="n">
        <f>SUM(J75:J77)</f>
        <v>0</v>
      </c>
      <c r="K74" s="5195"/>
      <c r="L74" s="5421" t="n">
        <f>SUM(L75:L77)</f>
        <v>0</v>
      </c>
    </row>
    <row r="75" spans="1:13" outlineLevel="1" ht="32" customHeight="1">
      <c r="A75" s="4826"/>
      <c r="B75" s="4506"/>
      <c r="C75" s="5474"/>
      <c r="D75" s="5434"/>
      <c r="E75" s="4506"/>
      <c r="F75" s="4506"/>
      <c r="G75" s="4506"/>
      <c r="H75" s="4826"/>
      <c r="I75" s="5434"/>
      <c r="J75" s="5376" t="n">
        <f t="shared" ref="J75:J77" si="43">+I75*H75</f>
        <v>0</v>
      </c>
      <c r="K75" s="5424" t="n">
        <f>+mc_ser</f>
        <v>0</v>
      </c>
      <c r="L75" s="5376" t="n">
        <f>+(J75 / (1-K75))</f>
        <v>0</v>
      </c>
      <c r="M75" s="5491"/>
    </row>
    <row r="76" spans="1:13" outlineLevel="1" ht="32" customHeight="1">
      <c r="A76" s="4793"/>
      <c r="B76" s="4499"/>
      <c r="C76" s="5476"/>
      <c r="D76" s="5433"/>
      <c r="E76" s="4499"/>
      <c r="F76" s="4499"/>
      <c r="G76" s="4499"/>
      <c r="H76" s="4793"/>
      <c r="I76" s="5433"/>
      <c r="J76" s="5381" t="n">
        <f t="shared" si="43"/>
        <v>0</v>
      </c>
      <c r="K76" s="5425" t="n">
        <f>+mc_ser</f>
        <v>0</v>
      </c>
      <c r="L76" s="5381" t="n">
        <f>+(J76 / (1-K76))</f>
        <v>0</v>
      </c>
    </row>
    <row r="77" spans="1:13" outlineLevel="1" ht="32" customHeight="1">
      <c r="A77" s="5084"/>
      <c r="B77" s="5058"/>
      <c r="C77" s="5474"/>
      <c r="D77" s="5434"/>
      <c r="E77" s="4506"/>
      <c r="F77" s="4506"/>
      <c r="G77" s="4506"/>
      <c r="H77" s="4826"/>
      <c r="I77" s="5434"/>
      <c r="J77" s="5376" t="n">
        <f t="shared" si="43"/>
        <v>0</v>
      </c>
      <c r="K77" s="5424" t="n">
        <f>+mc_ser</f>
        <v>0</v>
      </c>
      <c r="L77" s="5376" t="n">
        <f>+(J77 / (1-K77))</f>
        <v>0</v>
      </c>
    </row>
    <row r="78" spans="1:13" outlineLevel="1" ht="32" customHeight="1">
      <c r="A78" s="5420">
        <v>11</v>
      </c>
      <c r="B78" s="5188"/>
      <c r="C78" s="5471" t="str">
        <f>+C12</f>
        <v>Pruebas</v>
      </c>
      <c r="D78" s="5472"/>
      <c r="E78" s="5191"/>
      <c r="F78" s="5191"/>
      <c r="G78" s="5191"/>
      <c r="H78" s="5193"/>
      <c r="I78" s="5473"/>
      <c r="J78" s="5421" t="n">
        <f>SUM(J79:J80)</f>
        <v>0</v>
      </c>
      <c r="K78" s="5195"/>
      <c r="L78" s="5421" t="n">
        <f>SUM(L79:L80)</f>
        <v>0</v>
      </c>
    </row>
    <row r="79" spans="1:13" outlineLevel="1" ht="32" customHeight="1">
      <c r="A79" s="4826"/>
      <c r="B79" s="4506"/>
      <c r="C79" s="5530" t="s">
        <v>94</v>
      </c>
      <c r="D79" s="5434"/>
      <c r="E79" s="4506"/>
      <c r="F79" s="4506"/>
      <c r="G79" s="5531" t="s">
        <v>8</v>
      </c>
      <c r="H79" s="5415"/>
      <c r="I79" s="5376" t="n">
        <f>+DH</f>
        <v>0</v>
      </c>
      <c r="J79" s="5376" t="n">
        <f>+I79*H79</f>
        <v>0</v>
      </c>
      <c r="K79" s="5424" t="n">
        <f>+mc_ser</f>
        <v>0</v>
      </c>
      <c r="L79" s="5376" t="n">
        <f>+(J79 / (1-K79))</f>
        <v>0</v>
      </c>
    </row>
    <row r="80" spans="1:13" outlineLevel="1" ht="32" customHeight="1">
      <c r="A80" s="4793"/>
      <c r="B80" s="4499"/>
      <c r="C80" s="5476"/>
      <c r="D80" s="5433"/>
      <c r="E80" s="4499"/>
      <c r="F80" s="4499"/>
      <c r="G80" s="4499"/>
      <c r="H80" s="4793"/>
      <c r="I80" s="5435"/>
      <c r="J80" s="5381" t="n">
        <f>+I80*H80</f>
        <v>0</v>
      </c>
      <c r="K80" s="5425" t="n">
        <f>+mc_ser</f>
        <v>0</v>
      </c>
      <c r="L80" s="5381" t="n">
        <f>+(J80 / (1-K80))</f>
        <v>0</v>
      </c>
    </row>
    <row r="81" spans="1:13" outlineLevel="1" ht="32" customHeight="1">
      <c r="A81" s="5420">
        <v>12</v>
      </c>
      <c r="B81" s="5188"/>
      <c r="C81" s="5488" t="str">
        <f>+C13</f>
        <v>Certificaciones</v>
      </c>
      <c r="D81" s="5472"/>
      <c r="E81" s="5191"/>
      <c r="F81" s="5191"/>
      <c r="G81" s="5191"/>
      <c r="H81" s="5193"/>
      <c r="I81" s="5473"/>
      <c r="J81" s="5421" t="n">
        <f>SUM(J82:J84)</f>
        <v>0</v>
      </c>
      <c r="K81" s="5195"/>
      <c r="L81" s="5421" t="n">
        <f>SUM(L82:L84)</f>
        <v>0</v>
      </c>
      <c r="M81" s="5494"/>
    </row>
    <row r="82" spans="1:13" outlineLevel="1" ht="32" customHeight="1">
      <c r="A82" s="4793"/>
      <c r="B82" s="4499"/>
      <c r="C82" s="5532" t="s">
        <v>133</v>
      </c>
      <c r="D82" s="5433"/>
      <c r="E82" s="4499"/>
      <c r="F82" s="4499"/>
      <c r="G82" s="5533" t="s">
        <v>75</v>
      </c>
      <c r="H82" s="5430" t="n">
        <f>+H36</f>
        <v>0</v>
      </c>
      <c r="I82" s="5375"/>
      <c r="J82" s="5381" t="n">
        <f>+I82*H82</f>
        <v>0</v>
      </c>
      <c r="K82" s="5425" t="n">
        <f>+mc_ser</f>
        <v>0</v>
      </c>
      <c r="L82" s="5381" t="n">
        <f>+(J82 / (1-K82))</f>
        <v>0</v>
      </c>
    </row>
    <row r="83" spans="1:13" outlineLevel="1" ht="32" customHeight="1">
      <c r="A83" s="5084"/>
      <c r="B83" s="5058"/>
      <c r="C83" s="5474"/>
      <c r="D83" s="5434"/>
      <c r="E83" s="4506"/>
      <c r="F83" s="4506"/>
      <c r="G83" s="4506"/>
      <c r="H83" s="4826"/>
      <c r="I83" s="5436"/>
      <c r="J83" s="5376" t="n">
        <f>+I83*H83</f>
        <v>0</v>
      </c>
      <c r="K83" s="5424" t="n">
        <f>+mc_ser</f>
        <v>0</v>
      </c>
      <c r="L83" s="5376" t="n">
        <f>+(J83 / (1-K83))</f>
        <v>0</v>
      </c>
    </row>
    <row r="84" spans="1:13" outlineLevel="1" ht="32" customHeight="1">
      <c r="A84" s="4793"/>
      <c r="B84" s="4499"/>
      <c r="C84" s="5476"/>
      <c r="D84" s="5433"/>
      <c r="E84" s="4499"/>
      <c r="F84" s="4499"/>
      <c r="G84" s="4499"/>
      <c r="H84" s="4793"/>
      <c r="I84" s="5435"/>
      <c r="J84" s="5381" t="n">
        <f>+I84*H84</f>
        <v>0</v>
      </c>
      <c r="K84" s="5425" t="n">
        <f>+mc_ser</f>
        <v>0</v>
      </c>
      <c r="L84" s="5381" t="n">
        <f>+(J84 / (1-K84))</f>
        <v>0</v>
      </c>
    </row>
    <row r="85" spans="1:13" outlineLevel="1" ht="32" customHeight="1">
      <c r="A85" s="5420">
        <v>13</v>
      </c>
      <c r="B85" s="5188"/>
      <c r="C85" s="5488" t="str">
        <f>+C14</f>
        <v>Puesta en Servicio</v>
      </c>
      <c r="D85" s="5472"/>
      <c r="E85" s="5191"/>
      <c r="F85" s="5191"/>
      <c r="G85" s="5191"/>
      <c r="H85" s="5193"/>
      <c r="I85" s="5473"/>
      <c r="J85" s="5421" t="n">
        <f>SUM(J86:J88)</f>
        <v>0</v>
      </c>
      <c r="K85" s="5195"/>
      <c r="L85" s="5421" t="n">
        <f>SUM(L86:L88)</f>
        <v>0</v>
      </c>
      <c r="M85" s="5495"/>
    </row>
    <row r="86" spans="1:13" outlineLevel="1" ht="32" customHeight="1">
      <c r="A86" s="4793"/>
      <c r="B86" s="4499"/>
      <c r="C86" s="5532" t="s">
        <v>134</v>
      </c>
      <c r="D86" s="5433"/>
      <c r="E86" s="4499"/>
      <c r="F86" s="4499"/>
      <c r="G86" s="5533" t="s">
        <v>8</v>
      </c>
      <c r="H86" s="5408"/>
      <c r="I86" s="5381" t="n">
        <f>+DH</f>
        <v>0</v>
      </c>
      <c r="J86" s="5381" t="n">
        <f>+I86*H86</f>
        <v>0</v>
      </c>
      <c r="K86" s="5425" t="n">
        <f>+mc_ser</f>
        <v>0</v>
      </c>
      <c r="L86" s="5381" t="n">
        <f>+(J86 / (1-K86))</f>
        <v>0</v>
      </c>
    </row>
    <row r="87" spans="1:13" outlineLevel="1" ht="32" customHeight="1">
      <c r="A87" s="4826"/>
      <c r="B87" s="4506"/>
      <c r="C87" s="5474"/>
      <c r="D87" s="5434"/>
      <c r="E87" s="4506"/>
      <c r="F87" s="4506"/>
      <c r="G87" s="4506"/>
      <c r="H87" s="4826"/>
      <c r="I87" s="5436"/>
      <c r="J87" s="5376" t="n">
        <f>+I87*H87</f>
        <v>0</v>
      </c>
      <c r="K87" s="5424" t="n">
        <f>+mc_ser</f>
        <v>0</v>
      </c>
      <c r="L87" s="5376" t="n">
        <f>+(J87 / (1-K87))</f>
        <v>0</v>
      </c>
    </row>
    <row r="88" spans="1:13" outlineLevel="1" ht="32" customHeight="1">
      <c r="A88" s="4793"/>
      <c r="B88" s="4499"/>
      <c r="C88" s="5433"/>
      <c r="D88" s="5433"/>
      <c r="E88" s="4499"/>
      <c r="F88" s="4499"/>
      <c r="G88" s="4499"/>
      <c r="H88" s="4793"/>
      <c r="I88" s="5435"/>
      <c r="J88" s="5435"/>
      <c r="K88" s="4514"/>
      <c r="L88" s="5435"/>
    </row>
    <row r="89" spans="1:13" outlineLevel="1" ht="32" customHeight="1">
      <c r="A89" s="5420">
        <v>14</v>
      </c>
      <c r="B89" s="5188"/>
      <c r="C89" s="5488" t="str">
        <f>+C15</f>
        <v>Capacitaciones</v>
      </c>
      <c r="D89" s="5472"/>
      <c r="E89" s="5191"/>
      <c r="F89" s="5191"/>
      <c r="G89" s="5191"/>
      <c r="H89" s="5193"/>
      <c r="I89" s="5473"/>
      <c r="J89" s="5421" t="n">
        <f>SUM(J90:J92)</f>
        <v>0</v>
      </c>
      <c r="K89" s="5195"/>
      <c r="L89" s="5421" t="n">
        <f>SUM(L90:L92)</f>
        <v>0</v>
      </c>
      <c r="M89" s="5495"/>
    </row>
    <row r="90" spans="1:13" outlineLevel="1" ht="32" customHeight="1">
      <c r="A90" s="4793"/>
      <c r="B90" s="4499"/>
      <c r="C90" s="5532" t="s">
        <v>135</v>
      </c>
      <c r="D90" s="5433"/>
      <c r="E90" s="4499"/>
      <c r="F90" s="4499"/>
      <c r="G90" s="5533" t="s">
        <v>8</v>
      </c>
      <c r="H90" s="5408"/>
      <c r="I90" s="5381" t="n">
        <f>+DH</f>
        <v>0</v>
      </c>
      <c r="J90" s="5381" t="n">
        <f>+I90*H90</f>
        <v>0</v>
      </c>
      <c r="K90" s="5425" t="n">
        <f>+mc_ser</f>
        <v>0</v>
      </c>
      <c r="L90" s="5381" t="n">
        <f>+(J90 / (1-K90))</f>
        <v>0</v>
      </c>
    </row>
    <row r="91" spans="1:13" outlineLevel="1" ht="32" customHeight="1">
      <c r="A91" s="4826"/>
      <c r="B91" s="4506"/>
      <c r="C91" s="5530" t="s">
        <v>136</v>
      </c>
      <c r="D91" s="5434"/>
      <c r="E91" s="4506"/>
      <c r="F91" s="4506"/>
      <c r="G91" s="5531" t="s">
        <v>8</v>
      </c>
      <c r="H91" s="5415"/>
      <c r="I91" s="5376" t="n">
        <f>+DH</f>
        <v>0</v>
      </c>
      <c r="J91" s="5376" t="n">
        <f>+I91*H91</f>
        <v>0</v>
      </c>
      <c r="K91" s="5424" t="n">
        <f>+mc_ser</f>
        <v>0</v>
      </c>
      <c r="L91" s="5376" t="n">
        <f>+(J91 / (1-K91))</f>
        <v>0</v>
      </c>
    </row>
    <row r="92" spans="1:13" outlineLevel="1" ht="32" customHeight="1">
      <c r="A92" s="4793"/>
      <c r="B92" s="4499"/>
      <c r="C92" s="5433"/>
      <c r="D92" s="5433"/>
      <c r="E92" s="4499"/>
      <c r="F92" s="4499"/>
      <c r="G92" s="4499"/>
      <c r="H92" s="4793"/>
      <c r="I92" s="5435"/>
      <c r="J92" s="5435"/>
      <c r="K92" s="4514"/>
      <c r="L92" s="5435"/>
    </row>
    <row r="93" spans="1:13" outlineLevel="1" ht="32" customHeight="1">
      <c r="A93" s="5431">
        <v>15</v>
      </c>
      <c r="B93" s="5103"/>
      <c r="C93" s="5496" t="str">
        <f>+C16</f>
        <v>Servicios Logísticos</v>
      </c>
      <c r="D93" s="5443"/>
      <c r="E93" s="4506"/>
      <c r="F93" s="4506"/>
      <c r="G93" s="4506"/>
      <c r="H93" s="4826"/>
      <c r="I93" s="5436"/>
      <c r="J93" s="5432" t="n">
        <f>+J94+J106+J111+J114+J117</f>
        <v>0</v>
      </c>
      <c r="K93" s="4729"/>
      <c r="L93" s="5432" t="n">
        <f>+L94+L106+L111+L114+L117</f>
        <v>0</v>
      </c>
      <c r="M93" s="5387" t="n">
        <f>+L93*cotiza</f>
        <v>0</v>
      </c>
    </row>
    <row r="94" spans="1:13" outlineLevel="1" ht="32" customHeight="1">
      <c r="A94" s="5537" t="s">
        <v>137</v>
      </c>
      <c r="B94" s="5188"/>
      <c r="C94" s="5538" t="s">
        <v>138</v>
      </c>
      <c r="D94" s="5472"/>
      <c r="E94" s="5191"/>
      <c r="F94" s="5191"/>
      <c r="G94" s="5191"/>
      <c r="H94" s="5193"/>
      <c r="I94" s="5473"/>
      <c r="J94" s="5421" t="n">
        <f>SUM(J95:J105)</f>
        <v>0</v>
      </c>
      <c r="K94" s="5195"/>
      <c r="L94" s="5421" t="n">
        <f>SUM(L95:L105)</f>
        <v>0</v>
      </c>
    </row>
    <row r="95" spans="1:13" outlineLevel="1" ht="32" customHeight="1">
      <c r="A95" s="4826"/>
      <c r="B95" s="4506"/>
      <c r="C95" s="5530" t="s">
        <v>139</v>
      </c>
      <c r="D95" s="5434"/>
      <c r="E95" s="4506"/>
      <c r="F95" s="4506"/>
      <c r="G95" s="5531" t="s">
        <v>124</v>
      </c>
      <c r="H95" s="5415"/>
      <c r="I95" s="5376" t="n">
        <f>+(J18+J26+J30+J35+J43+J49)*0.07</f>
        <v>0</v>
      </c>
      <c r="J95" s="5376" t="n">
        <f t="shared" ref="J95:J98" si="44">+I95*H95</f>
        <v>0</v>
      </c>
      <c r="K95" s="5424" t="n">
        <f t="shared" ref="K95:K105" si="45">+mc_log</f>
        <v>0</v>
      </c>
      <c r="L95" s="5376" t="n">
        <f t="shared" ref="L95:L98" si="46">+(J95 / (1-K95))</f>
        <v>0</v>
      </c>
    </row>
    <row r="96" spans="1:13" outlineLevel="1" ht="32" customHeight="1">
      <c r="A96" s="4793"/>
      <c r="B96" s="4499"/>
      <c r="C96" s="5532" t="s">
        <v>140</v>
      </c>
      <c r="D96" s="5433"/>
      <c r="E96" s="4499"/>
      <c r="F96" s="4499"/>
      <c r="G96" s="5533" t="s">
        <v>124</v>
      </c>
      <c r="H96" s="5408"/>
      <c r="I96" s="5375"/>
      <c r="J96" s="5381" t="n">
        <f t="shared" si="44"/>
        <v>0</v>
      </c>
      <c r="K96" s="5425" t="n">
        <f t="shared" si="45"/>
        <v>0</v>
      </c>
      <c r="L96" s="5381" t="n">
        <f t="shared" si="46"/>
        <v>0</v>
      </c>
    </row>
    <row r="97" spans="1:12" outlineLevel="1" ht="32" customHeight="1">
      <c r="A97" s="4826"/>
      <c r="B97" s="4506"/>
      <c r="C97" s="5474"/>
      <c r="D97" s="5434"/>
      <c r="E97" s="4506"/>
      <c r="F97" s="4506"/>
      <c r="G97" s="4506"/>
      <c r="H97" s="4826"/>
      <c r="I97" s="5436"/>
      <c r="J97" s="5376" t="n">
        <f t="shared" ref="J97" si="47">+I97*H97</f>
        <v>0</v>
      </c>
      <c r="K97" s="5424" t="n">
        <f t="shared" si="45"/>
        <v>0</v>
      </c>
      <c r="L97" s="5376" t="n">
        <f t="shared" ref="L97" si="48">+(J97 / (1-K97))</f>
        <v>0</v>
      </c>
    </row>
    <row r="98" spans="1:12" outlineLevel="1" ht="32" customHeight="1">
      <c r="A98" s="4793"/>
      <c r="B98" s="4499"/>
      <c r="C98" s="5476"/>
      <c r="D98" s="5433"/>
      <c r="E98" s="4499"/>
      <c r="F98" s="4499"/>
      <c r="G98" s="4499"/>
      <c r="H98" s="4793"/>
      <c r="I98" s="5435"/>
      <c r="J98" s="5381" t="n">
        <f t="shared" si="44"/>
        <v>0</v>
      </c>
      <c r="K98" s="5425" t="n">
        <f t="shared" si="45"/>
        <v>0</v>
      </c>
      <c r="L98" s="5381" t="n">
        <f t="shared" si="46"/>
        <v>0</v>
      </c>
    </row>
    <row r="99" spans="1:12" outlineLevel="1" ht="32" customHeight="1">
      <c r="A99" s="4826"/>
      <c r="B99" s="4506"/>
      <c r="C99" s="5474"/>
      <c r="D99" s="5434"/>
      <c r="E99" s="4506"/>
      <c r="F99" s="4506"/>
      <c r="G99" s="4506"/>
      <c r="H99" s="4826"/>
      <c r="I99" s="5436"/>
      <c r="J99" s="5376" t="n">
        <f t="shared" ref="J99:J100" si="49">+I99*H99</f>
        <v>0</v>
      </c>
      <c r="K99" s="5424" t="n">
        <f t="shared" si="45"/>
        <v>0</v>
      </c>
      <c r="L99" s="5376" t="n">
        <f t="shared" ref="L99:L100" si="50">+(J99 / (1-K99))</f>
        <v>0</v>
      </c>
    </row>
    <row r="100" spans="1:12" outlineLevel="1" ht="32" customHeight="1">
      <c r="A100" s="4793"/>
      <c r="B100" s="4499"/>
      <c r="C100" s="5476"/>
      <c r="D100" s="5433"/>
      <c r="E100" s="4499"/>
      <c r="F100" s="4499"/>
      <c r="G100" s="4499"/>
      <c r="H100" s="4793"/>
      <c r="I100" s="5435"/>
      <c r="J100" s="5381" t="n">
        <f t="shared" si="49"/>
        <v>0</v>
      </c>
      <c r="K100" s="5425" t="n">
        <f t="shared" si="45"/>
        <v>0</v>
      </c>
      <c r="L100" s="5381" t="n">
        <f t="shared" si="50"/>
        <v>0</v>
      </c>
    </row>
    <row r="101" spans="1:12" outlineLevel="1" ht="32" customHeight="1">
      <c r="A101" s="4826"/>
      <c r="B101" s="4506"/>
      <c r="C101" s="5474"/>
      <c r="D101" s="5434"/>
      <c r="E101" s="4506"/>
      <c r="F101" s="4506"/>
      <c r="G101" s="4506"/>
      <c r="H101" s="4826"/>
      <c r="I101" s="5436"/>
      <c r="J101" s="5376" t="n">
        <f t="shared" ref="J101" si="51">+I101*H101</f>
        <v>0</v>
      </c>
      <c r="K101" s="5424" t="n">
        <f t="shared" si="45"/>
        <v>0</v>
      </c>
      <c r="L101" s="5376" t="n">
        <f t="shared" ref="L101" si="52">+(J101 / (1-K101))</f>
        <v>0</v>
      </c>
    </row>
    <row r="102" spans="1:12" outlineLevel="1" ht="32" customHeight="1">
      <c r="A102" s="4793"/>
      <c r="B102" s="4499"/>
      <c r="C102" s="5493"/>
      <c r="D102" s="5433"/>
      <c r="E102" s="4499"/>
      <c r="F102" s="4499"/>
      <c r="G102" s="4499"/>
      <c r="H102" s="4793"/>
      <c r="I102" s="5435"/>
      <c r="J102" s="5381" t="n">
        <f>+I102*H102</f>
        <v>0</v>
      </c>
      <c r="K102" s="5425" t="n">
        <f t="shared" si="45"/>
        <v>0</v>
      </c>
      <c r="L102" s="5381" t="n">
        <f>+(J102 / (1-K102))</f>
        <v>0</v>
      </c>
    </row>
    <row r="103" spans="1:12" outlineLevel="1" ht="32" customHeight="1">
      <c r="A103" s="4826"/>
      <c r="B103" s="4506"/>
      <c r="C103" s="5474"/>
      <c r="D103" s="5434"/>
      <c r="E103" s="4506"/>
      <c r="F103" s="4506"/>
      <c r="G103" s="4506"/>
      <c r="H103" s="4826"/>
      <c r="I103" s="5436"/>
      <c r="J103" s="5376" t="n">
        <f t="shared" ref="J103" si="53">+I103*H103</f>
        <v>0</v>
      </c>
      <c r="K103" s="5424" t="n">
        <f t="shared" si="45"/>
        <v>0</v>
      </c>
      <c r="L103" s="5376" t="n">
        <f t="shared" ref="L103" si="54">+(J103 / (1-K103))</f>
        <v>0</v>
      </c>
    </row>
    <row r="104" spans="1:12" outlineLevel="1" ht="32" customHeight="1">
      <c r="A104" s="4793"/>
      <c r="B104" s="4499"/>
      <c r="C104" s="5487"/>
      <c r="D104" s="5433"/>
      <c r="E104" s="4499"/>
      <c r="F104" s="4499"/>
      <c r="G104" s="4499"/>
      <c r="H104" s="4793"/>
      <c r="I104" s="5435"/>
      <c r="J104" s="5381" t="n">
        <f>+I104*H104</f>
        <v>0</v>
      </c>
      <c r="K104" s="5425" t="n">
        <f t="shared" si="45"/>
        <v>0</v>
      </c>
      <c r="L104" s="5381" t="n">
        <f>+(J104 / (1-K104))</f>
        <v>0</v>
      </c>
    </row>
    <row r="105" spans="1:12" outlineLevel="1" ht="32" customHeight="1">
      <c r="A105" s="4826"/>
      <c r="B105" s="4506"/>
      <c r="C105" s="5474"/>
      <c r="D105" s="5434"/>
      <c r="E105" s="4506"/>
      <c r="F105" s="4506"/>
      <c r="G105" s="4506"/>
      <c r="H105" s="4826"/>
      <c r="I105" s="5436"/>
      <c r="J105" s="5376" t="n">
        <f>+I105*H105</f>
        <v>0</v>
      </c>
      <c r="K105" s="5424" t="n">
        <f t="shared" si="45"/>
        <v>0</v>
      </c>
      <c r="L105" s="5376" t="n">
        <f>+(J105 / (1-K105))</f>
        <v>0</v>
      </c>
    </row>
    <row r="106" spans="1:12" outlineLevel="1" ht="32" customHeight="1">
      <c r="A106" s="5537" t="s">
        <v>141</v>
      </c>
      <c r="B106" s="5188"/>
      <c r="C106" s="5538" t="s">
        <v>142</v>
      </c>
      <c r="D106" s="5472"/>
      <c r="E106" s="5191"/>
      <c r="F106" s="5191"/>
      <c r="G106" s="5191"/>
      <c r="H106" s="5193"/>
      <c r="I106" s="5473"/>
      <c r="J106" s="5421" t="n">
        <f>SUM(J107:J110)</f>
        <v>0</v>
      </c>
      <c r="K106" s="5195"/>
      <c r="L106" s="5421" t="n">
        <f>SUM(L107:L110)</f>
        <v>0</v>
      </c>
    </row>
    <row r="107" spans="1:12" outlineLevel="1" ht="32" customHeight="1">
      <c r="A107" s="4826"/>
      <c r="B107" s="4506"/>
      <c r="C107" s="5530" t="s">
        <v>143</v>
      </c>
      <c r="D107" s="5434"/>
      <c r="E107" s="4506"/>
      <c r="F107" s="4506"/>
      <c r="G107" s="5531" t="s">
        <v>75</v>
      </c>
      <c r="H107" s="5415"/>
      <c r="I107" s="5426"/>
      <c r="J107" s="5376" t="n">
        <f>+I107*H107</f>
        <v>0</v>
      </c>
      <c r="K107" s="5424" t="n">
        <f>+mc_log</f>
        <v>0</v>
      </c>
      <c r="L107" s="5376" t="n">
        <f>+(J107 / (1-K107))</f>
        <v>0</v>
      </c>
    </row>
    <row r="108" spans="1:12" outlineLevel="1" ht="32" customHeight="1">
      <c r="A108" s="4793"/>
      <c r="B108" s="4499"/>
      <c r="C108" s="5532" t="s">
        <v>144</v>
      </c>
      <c r="D108" s="5433"/>
      <c r="E108" s="4499"/>
      <c r="F108" s="4499"/>
      <c r="G108" s="5533" t="s">
        <v>75</v>
      </c>
      <c r="H108" s="5408"/>
      <c r="I108" s="5375"/>
      <c r="J108" s="5381" t="n">
        <f>+I108*H108</f>
        <v>0</v>
      </c>
      <c r="K108" s="5425" t="n">
        <f>+mc_log</f>
        <v>0</v>
      </c>
      <c r="L108" s="5381" t="n">
        <f>+(J108 / (1-K108))</f>
        <v>0</v>
      </c>
    </row>
    <row r="109" spans="1:12" outlineLevel="1" ht="32" customHeight="1">
      <c r="A109" s="4826"/>
      <c r="B109" s="4506"/>
      <c r="C109" s="5530" t="s">
        <v>145</v>
      </c>
      <c r="D109" s="5434"/>
      <c r="E109" s="4506"/>
      <c r="F109" s="4506"/>
      <c r="G109" s="5531" t="s">
        <v>75</v>
      </c>
      <c r="H109" s="5415"/>
      <c r="I109" s="5426"/>
      <c r="J109" s="5376" t="n">
        <f>+I109*H109</f>
        <v>0</v>
      </c>
      <c r="K109" s="5424" t="n">
        <f>+mc_log</f>
        <v>0</v>
      </c>
      <c r="L109" s="5376" t="n">
        <f>+(J109 / (1-K109))</f>
        <v>0</v>
      </c>
    </row>
    <row r="110" spans="1:12" outlineLevel="1" ht="32" customHeight="1">
      <c r="A110" s="4793"/>
      <c r="B110" s="4499"/>
      <c r="C110" s="5476"/>
      <c r="D110" s="5433"/>
      <c r="E110" s="4499"/>
      <c r="F110" s="4499"/>
      <c r="G110" s="4499"/>
      <c r="H110" s="4793"/>
      <c r="I110" s="5435"/>
      <c r="J110" s="5381" t="n">
        <f>+I110*H110</f>
        <v>0</v>
      </c>
      <c r="K110" s="5425" t="n">
        <f>+mc_log</f>
        <v>0</v>
      </c>
      <c r="L110" s="5381" t="n">
        <f>+(J110 / (1-K110))</f>
        <v>0</v>
      </c>
    </row>
    <row r="111" spans="1:12" outlineLevel="1" ht="32" customHeight="1">
      <c r="A111" s="5537" t="s">
        <v>146</v>
      </c>
      <c r="B111" s="5188"/>
      <c r="C111" s="5538" t="s">
        <v>147</v>
      </c>
      <c r="D111" s="5472"/>
      <c r="E111" s="5191"/>
      <c r="F111" s="5191"/>
      <c r="G111" s="5191"/>
      <c r="H111" s="5193"/>
      <c r="I111" s="5473"/>
      <c r="J111" s="5421" t="n">
        <f>SUM(J112:J113)</f>
        <v>0</v>
      </c>
      <c r="K111" s="5195"/>
      <c r="L111" s="5421" t="n">
        <f>SUM(L112:L113)</f>
        <v>0</v>
      </c>
    </row>
    <row r="112" spans="1:12" outlineLevel="1" ht="32" customHeight="1">
      <c r="A112" s="4793"/>
      <c r="B112" s="4499"/>
      <c r="C112" s="5476"/>
      <c r="D112" s="5433"/>
      <c r="E112" s="4499"/>
      <c r="F112" s="4499"/>
      <c r="G112" s="4499"/>
      <c r="H112" s="4793"/>
      <c r="I112" s="5435"/>
      <c r="J112" s="5381" t="n">
        <f>+I112*H112</f>
        <v>0</v>
      </c>
      <c r="K112" s="5425" t="n">
        <f>+mc_log</f>
        <v>0</v>
      </c>
      <c r="L112" s="5381" t="n">
        <f>+(J112 / (1-K112))</f>
        <v>0</v>
      </c>
    </row>
    <row r="113" spans="1:12" outlineLevel="1" ht="32" customHeight="1">
      <c r="A113" s="4826"/>
      <c r="B113" s="4506"/>
      <c r="C113" s="5474"/>
      <c r="D113" s="5434"/>
      <c r="E113" s="4506"/>
      <c r="F113" s="4506"/>
      <c r="G113" s="4506"/>
      <c r="H113" s="4826"/>
      <c r="I113" s="5436"/>
      <c r="J113" s="5376" t="n">
        <f>+I113*H113</f>
        <v>0</v>
      </c>
      <c r="K113" s="5424" t="n">
        <f>+mc_log</f>
        <v>0</v>
      </c>
      <c r="L113" s="5376" t="n">
        <f>+(J113 / (1-K113))</f>
        <v>0</v>
      </c>
    </row>
    <row r="114" spans="1:12" outlineLevel="1" ht="32" customHeight="1">
      <c r="A114" s="5537" t="s">
        <v>148</v>
      </c>
      <c r="B114" s="5188"/>
      <c r="C114" s="5538" t="s">
        <v>149</v>
      </c>
      <c r="D114" s="5472"/>
      <c r="E114" s="5191"/>
      <c r="F114" s="5191"/>
      <c r="G114" s="5191"/>
      <c r="H114" s="5193"/>
      <c r="I114" s="5473"/>
      <c r="J114" s="5421" t="n">
        <f>SUM(J115:J116)</f>
        <v>0</v>
      </c>
      <c r="K114" s="5195"/>
      <c r="L114" s="5421" t="n">
        <f>SUM(L115:L116)</f>
        <v>0</v>
      </c>
    </row>
    <row r="115" spans="1:12" outlineLevel="1" ht="32" customHeight="1">
      <c r="A115" s="4826"/>
      <c r="B115" s="4506"/>
      <c r="C115" s="5474"/>
      <c r="D115" s="5434"/>
      <c r="E115" s="4506"/>
      <c r="F115" s="4506"/>
      <c r="G115" s="4506"/>
      <c r="H115" s="4826"/>
      <c r="I115" s="5436"/>
      <c r="J115" s="5376" t="n">
        <f>+I115*H115</f>
        <v>0</v>
      </c>
      <c r="K115" s="5424" t="n">
        <f>+mc_log</f>
        <v>0</v>
      </c>
      <c r="L115" s="5376" t="n">
        <f>+(J115 / (1-K115))</f>
        <v>0</v>
      </c>
    </row>
    <row r="116" spans="1:12" outlineLevel="1" ht="32" customHeight="1">
      <c r="A116" s="5089"/>
      <c r="B116" s="5056"/>
      <c r="C116" s="5489"/>
      <c r="D116" s="5498"/>
      <c r="E116" s="4499"/>
      <c r="F116" s="5498"/>
      <c r="G116" s="4499"/>
      <c r="H116" s="4793"/>
      <c r="I116" s="5435"/>
      <c r="J116" s="5381" t="n">
        <f>+I116*H116</f>
        <v>0</v>
      </c>
      <c r="K116" s="5425" t="n">
        <f>+mc_log</f>
        <v>0</v>
      </c>
      <c r="L116" s="5381" t="n">
        <f>+(J116 / (1-K116))</f>
        <v>0</v>
      </c>
    </row>
    <row r="117" spans="1:12" outlineLevel="1" ht="32" customHeight="1">
      <c r="A117" s="5537" t="s">
        <v>150</v>
      </c>
      <c r="B117" s="5188"/>
      <c r="C117" s="5538" t="s">
        <v>151</v>
      </c>
      <c r="D117" s="5472"/>
      <c r="E117" s="5191"/>
      <c r="F117" s="5191"/>
      <c r="G117" s="5191"/>
      <c r="H117" s="5193"/>
      <c r="I117" s="5473"/>
      <c r="J117" s="5421" t="n">
        <f>SUM(J118:J119)</f>
        <v>0</v>
      </c>
      <c r="K117" s="5195"/>
      <c r="L117" s="5421" t="n">
        <f>SUM(L118:L119)</f>
        <v>0</v>
      </c>
    </row>
    <row r="118" spans="1:12" outlineLevel="1" ht="32" customHeight="1">
      <c r="A118" s="4793"/>
      <c r="B118" s="4499"/>
      <c r="C118" s="5532" t="s">
        <v>152</v>
      </c>
      <c r="D118" s="5498"/>
      <c r="E118" s="4499"/>
      <c r="F118" s="4499"/>
      <c r="G118" s="5533" t="s">
        <v>153</v>
      </c>
      <c r="H118" s="5430" t="n">
        <f>+E67*20</f>
        <v>0</v>
      </c>
      <c r="I118" s="5381" t="n">
        <f>+km</f>
        <v>0</v>
      </c>
      <c r="J118" s="5381" t="n">
        <f>+I118*H118</f>
        <v>0</v>
      </c>
      <c r="K118" s="5425" t="n">
        <f>+mc_log</f>
        <v>0</v>
      </c>
      <c r="L118" s="5381" t="n">
        <f>+(J118 / (1-K118))</f>
        <v>0</v>
      </c>
    </row>
    <row r="119" spans="1:12" outlineLevel="1" ht="32" customHeight="1">
      <c r="A119" s="4826"/>
      <c r="B119" s="4506"/>
      <c r="C119" s="5535" t="s">
        <v>154</v>
      </c>
      <c r="D119" s="5499"/>
      <c r="E119" s="4506"/>
      <c r="F119" s="5499"/>
      <c r="G119" s="5531" t="s">
        <v>8</v>
      </c>
      <c r="H119" s="5429" t="n">
        <f>+E67</f>
        <v>0</v>
      </c>
      <c r="I119" s="5426"/>
      <c r="J119" s="5376" t="n">
        <f>+I119*H119</f>
        <v>0</v>
      </c>
      <c r="K119" s="5424" t="n">
        <f>+mc_log</f>
        <v>0</v>
      </c>
      <c r="L119" s="5376" t="n">
        <f>+(J119 / (1-K119))</f>
        <v>0</v>
      </c>
    </row>
  </sheetData>
  <dataConsolidate/>
  <mergeCells count="3">
    <mergeCell ref="G2:H8"/>
    <mergeCell ref="G9:H15"/>
    <mergeCell ref="G16:H16"/>
  </mergeCells>
  <dataValidations count="1">
    <dataValidation type="decimal" operator="greaterThanOrEqual" sqref="H19:I119" allowBlank="1" showErrorMessage="1">
      <formula1>0</formula1>
    </dataValidation>
  </dataValidations>
  <printOptions horizontalCentered="0" gridLines="0" headings="0"/>
  <pageMargins left="0.25" right="0.25" top="0.65" bottom="0.5" header="0.2" footer="0.2"/>
  <pageSetup paperSize="8" orientation="landscape" scale="100" fitToWidth="0" fitToHeight="0"/>
  <headerFooter scaleWithDoc="0">
    <oddHeader>&amp;L&amp;"UM Sans 2,Regular"&amp;10 PD&amp;R&amp;G</oddHeader>
    <oddFooter>&amp;L&amp;"UM Sans 2,Regular"&amp;9ULTIMA MILLA S.A. · Uso interno&amp;R&amp;"UM Sans 2,Regular"&amp;9&amp;P / &amp;N</oddFooter>
  </headerFooter>
  <legacyDrawingHF r:id="rIdUMSABra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5F4C0-2A35-4BDB-9B40-2E39D1B7CB8A}">
  <sheetPr>
    <pageSetUpPr fitToPage="0"/>
  </sheetPr>
  <dimension ref="C29:D50"/>
  <sheetViews>
    <sheetView showGridLines="0" workbookViewId="0" tabSelected="0" topLeftCell="C29">
      <pane ySplit="1" topLeftCell="A2" activePane="bottomLeft" state="frozen"/>
    </sheetView>
  </sheetViews>
  <sheetFormatPr baseColWidth="10" defaultRowHeight="13.2"/>
  <cols>
    <col min="3" max="3" width="22.5" hidden="0" customWidth="1"/>
    <col min="4" max="4" width="56.25" hidden="0" customWidth="1"/>
    <col min="5" max="5" width="50.44140625" customWidth="1"/>
    <col min="1" max="1" width="3.130000114440918" hidden="0" customWidth="1"/>
    <col min="2" max="2" width="3.130000114440918" hidden="0" customWidth="1"/>
  </cols>
  <sheetData>
    <row r="29" spans="3:4" ht="40" customHeight="1">
      <c r="C29" s="5539" t="s">
        <v>155</v>
      </c>
      <c r="D29" s="5539" t="s">
        <v>156</v>
      </c>
    </row>
    <row r="30" spans="3:4" ht="32" customHeight="1">
      <c r="C30" s="5540" t="s">
        <v>85</v>
      </c>
      <c r="D30" s="5540" t="s">
        <v>157</v>
      </c>
    </row>
    <row r="31" spans="3:4" ht="32" customHeight="1">
      <c r="C31" s="5436"/>
      <c r="D31" s="5541" t="s">
        <v>158</v>
      </c>
    </row>
    <row r="32" spans="3:4" ht="32" customHeight="1">
      <c r="C32" s="5435"/>
      <c r="D32" s="5435"/>
    </row>
    <row r="33" spans="3:4" ht="32" customHeight="1">
      <c r="C33" s="5541" t="s">
        <v>86</v>
      </c>
      <c r="D33" s="5541" t="s">
        <v>159</v>
      </c>
    </row>
    <row r="34" spans="3:4" ht="32" customHeight="1">
      <c r="C34" s="5435"/>
      <c r="D34" s="5540" t="s">
        <v>160</v>
      </c>
    </row>
    <row r="35" spans="3:4" ht="32" customHeight="1">
      <c r="C35" s="5436"/>
      <c r="D35" s="5541" t="s">
        <v>161</v>
      </c>
    </row>
    <row r="36" spans="3:4" ht="32" customHeight="1">
      <c r="C36" s="5435"/>
      <c r="D36" s="5435"/>
    </row>
    <row r="37" spans="3:4" ht="32" customHeight="1">
      <c r="C37" s="5541" t="s">
        <v>87</v>
      </c>
      <c r="D37" s="5541" t="s">
        <v>112</v>
      </c>
    </row>
    <row r="38" spans="3:4" ht="32" customHeight="1">
      <c r="C38" s="5435"/>
      <c r="D38" s="5540" t="s">
        <v>162</v>
      </c>
    </row>
    <row r="39" spans="3:4" ht="32" customHeight="1">
      <c r="C39" s="5436"/>
      <c r="D39" s="5541" t="s">
        <v>163</v>
      </c>
    </row>
    <row r="40" spans="3:4" ht="32" customHeight="1">
      <c r="C40" s="5435"/>
      <c r="D40" s="5540" t="s">
        <v>164</v>
      </c>
    </row>
    <row r="41" spans="3:4" ht="32" customHeight="1">
      <c r="C41" s="5436"/>
      <c r="D41" s="5436"/>
    </row>
    <row r="42" spans="3:4" ht="32" customHeight="1">
      <c r="C42" s="5540" t="s">
        <v>88</v>
      </c>
      <c r="D42" s="5435"/>
    </row>
    <row r="43" spans="3:4" ht="32" customHeight="1">
      <c r="C43" s="5541" t="s">
        <v>89</v>
      </c>
      <c r="D43" s="5541" t="s">
        <v>165</v>
      </c>
    </row>
    <row r="44" spans="3:4" ht="32" customHeight="1">
      <c r="C44" s="5435"/>
      <c r="D44" s="5540" t="s">
        <v>166</v>
      </c>
    </row>
    <row r="45" spans="3:4" ht="32" customHeight="1">
      <c r="C45" s="5436"/>
      <c r="D45" s="5541" t="s">
        <v>118</v>
      </c>
    </row>
    <row r="46" spans="3:4" ht="32" customHeight="1">
      <c r="C46" s="5435"/>
      <c r="D46" s="5540" t="s">
        <v>167</v>
      </c>
    </row>
    <row r="47" spans="3:4" ht="32" customHeight="1">
      <c r="C47" s="5436"/>
      <c r="D47" s="5541" t="s">
        <v>168</v>
      </c>
    </row>
    <row r="48" spans="3:4" ht="32" customHeight="1">
      <c r="C48" s="5435"/>
      <c r="D48" s="5540" t="s">
        <v>169</v>
      </c>
    </row>
    <row r="49" spans="3:4" ht="32" customHeight="1">
      <c r="C49" s="5436"/>
      <c r="D49" s="5541" t="s">
        <v>169</v>
      </c>
    </row>
    <row r="50" spans="3:4" ht="32" customHeight="1">
      <c r="C50" s="5435"/>
      <c r="D50" s="5540" t="s">
        <v>170</v>
      </c>
    </row>
  </sheetData>
  <printOptions horizontalCentered="0" gridLines="0" headings="0"/>
  <pageMargins left="0.25" right="0.25" top="0.65" bottom="0.5" header="0.2" footer="0.2"/>
  <pageSetup paperSize="9" orientation="portrait" scale="100" fitToWidth="0" fitToHeight="0"/>
  <headerFooter scaleWithDoc="0">
    <oddHeader>&amp;L&amp;"UM Sans 2,Regular"&amp;10 Hoja1&amp;R&amp;G</oddHeader>
    <oddFooter>&amp;L&amp;"UM Sans 2,Regular"&amp;9ULTIMA MILLA S.A. · Uso interno&amp;R&amp;"UM Sans 2,Regular"&amp;9&amp;P / &amp;N</oddFooter>
  </headerFooter>
  <legacyDrawingHF r:id="rIdUMSABra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18</vt:i4>
      </vt:variant>
    </vt:vector>
  </HeadingPairs>
  <TitlesOfParts>
    <vt:vector size="26" baseType="lpstr">
      <vt:lpstr>0-GUIA</vt:lpstr>
      <vt:lpstr>1-PARAMETRIZACION</vt:lpstr>
      <vt:lpstr>3-CUADRO DE RESULTADO</vt:lpstr>
      <vt:lpstr>2-DIMENSIONAMIENTO</vt:lpstr>
      <vt:lpstr>6-OFERTA</vt:lpstr>
      <vt:lpstr>materiales</vt:lpstr>
      <vt:lpstr>PD</vt:lpstr>
      <vt:lpstr>Hoja1</vt:lpstr>
      <vt:lpstr>Bonificacion</vt:lpstr>
      <vt:lpstr>cable</vt:lpstr>
      <vt:lpstr>CAJA</vt:lpstr>
      <vt:lpstr>caño</vt:lpstr>
      <vt:lpstr>CCABLE</vt:lpstr>
      <vt:lpstr>cequipos</vt:lpstr>
      <vt:lpstr>cotiza</vt:lpstr>
      <vt:lpstr>cuadrilla</vt:lpstr>
      <vt:lpstr>DH</vt:lpstr>
      <vt:lpstr>HH</vt:lpstr>
      <vt:lpstr>Imprevisto</vt:lpstr>
      <vt:lpstr>km</vt:lpstr>
      <vt:lpstr>mc_log</vt:lpstr>
      <vt:lpstr>mc_mat</vt:lpstr>
      <vt:lpstr>mc_ser</vt:lpstr>
      <vt:lpstr>mc_sub</vt:lpstr>
      <vt:lpstr>plazo</vt:lpstr>
      <vt:lpstr>rhxcuadrilla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Sistema de Central Contraincendio - Notifier</dc:title>
  <dc:subject>Proyecto</dc:subject>
  <dc:creator>ULTIMA MILLA S.A.</dc:creator>
  <cp:lastModifiedBy>ULTIMA MILLA S.A.</cp:lastModifiedBy>
  <cp:lastPrinted>2020-10-02T16:55:48Z</cp:lastPrinted>
  <dcterms:created xsi:type="dcterms:W3CDTF">2008-02-20T23:45:10Z</dcterms:created>
  <dcterms:modified xsi:type="dcterms:W3CDTF">2024-01-05T00:14:41Z</dcterms:modified>
</cp:coreProperties>
</file>